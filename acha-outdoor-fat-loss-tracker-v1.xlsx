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開始使用" sheetId="1" state="visible" r:id="rId1"/>
    <sheet xmlns:r="http://schemas.openxmlformats.org/officeDocument/2006/relationships" name="每日記錄" sheetId="2" state="visible" r:id="rId2"/>
    <sheet xmlns:r="http://schemas.openxmlformats.org/officeDocument/2006/relationships" name="外食指南" sheetId="3" state="visible" r:id="rId3"/>
    <sheet xmlns:r="http://schemas.openxmlformats.org/officeDocument/2006/relationships" name="每週回顧" sheetId="4" state="visible" r:id="rId4"/>
  </sheets>
  <definedNames>
    <definedName name="_xlnm._FilterDatabase" localSheetId="1" hidden="1">'每日記錄'!$A$4:$N$369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704331"/>
      <sz val="20"/>
    </font>
    <font>
      <name val="Arial"/>
      <color rgb="00704331"/>
      <sz val="12"/>
    </font>
    <font>
      <name val="Arial"/>
      <b val="1"/>
      <color rgb="00FFFFFF"/>
      <sz val="11"/>
    </font>
    <font>
      <name val="Arial"/>
      <b val="1"/>
      <color rgb="00B87955"/>
      <sz val="12"/>
    </font>
    <font>
      <name val="Arial"/>
      <b val="1"/>
      <color rgb="00704331"/>
      <sz val="13"/>
    </font>
    <font>
      <b val="1"/>
      <color rgb="00B87955"/>
    </font>
    <font>
      <i val="1"/>
      <color rgb="00704331"/>
    </font>
    <font>
      <b val="1"/>
      <color rgb="00704331"/>
    </font>
  </fonts>
  <fills count="5">
    <fill>
      <patternFill/>
    </fill>
    <fill>
      <patternFill patternType="gray125"/>
    </fill>
    <fill>
      <patternFill patternType="solid">
        <fgColor rgb="00FFF8EE"/>
      </patternFill>
    </fill>
    <fill>
      <patternFill patternType="solid">
        <fgColor rgb="00B87955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E9DCC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0" pivotButton="0" quotePrefix="0" xfId="0"/>
    <xf numFmtId="0" fontId="8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7955"/>
    <outlinePr summaryBelow="1" summaryRight="1"/>
    <pageSetUpPr fitToPage="1"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阿茶 365 天外食減脂表｜Google Sheets 個人版</t>
        </is>
      </c>
    </row>
    <row r="2">
      <c r="A2" s="2" t="inlineStr">
        <is>
          <t>365 天記錄外食、體重、腰圍與習慣，不用一次做到完美。</t>
        </is>
      </c>
    </row>
    <row r="4">
      <c r="A4" s="3" t="inlineStr">
        <is>
          <t>使用順序</t>
        </is>
      </c>
      <c r="B4" s="3" t="inlineStr">
        <is>
          <t>你要做的事</t>
        </is>
      </c>
      <c r="C4" s="3" t="inlineStr">
        <is>
          <t>完成標記</t>
        </is>
      </c>
      <c r="D4" s="3" t="inlineStr">
        <is>
          <t>小提醒</t>
        </is>
      </c>
    </row>
    <row r="5">
      <c r="A5" s="4" t="inlineStr">
        <is>
          <t>1</t>
        </is>
      </c>
      <c r="B5" s="5" t="inlineStr">
        <is>
          <t>到「每日記錄」輸入今天的餐點、體重與習慣</t>
        </is>
      </c>
      <c r="C5" s="5" t="inlineStr">
        <is>
          <t>□</t>
        </is>
      </c>
      <c r="D5" s="5" t="inlineStr">
        <is>
          <t>365 天慢慢累積</t>
        </is>
      </c>
    </row>
    <row r="6">
      <c r="A6" s="4" t="inlineStr">
        <is>
          <t>2</t>
        </is>
      </c>
      <c r="B6" s="5" t="inlineStr">
        <is>
          <t>用蛋白質／蔬菜／飲料欄位做簡單檢視</t>
        </is>
      </c>
      <c r="C6" s="5" t="inlineStr">
        <is>
          <t>□</t>
        </is>
      </c>
      <c r="D6" s="5" t="inlineStr">
        <is>
          <t>不求每餐完美</t>
        </is>
      </c>
    </row>
    <row r="7">
      <c r="A7" s="4" t="inlineStr">
        <is>
          <t>3</t>
        </is>
      </c>
      <c r="B7" s="5" t="inlineStr">
        <is>
          <t>每週到「每週回顧」看見記錄與身體變化</t>
        </is>
      </c>
      <c r="C7" s="5" t="inlineStr">
        <is>
          <t>□</t>
        </is>
      </c>
      <c r="D7" s="5" t="inlineStr">
        <is>
          <t>下一週只調整一件事</t>
        </is>
      </c>
    </row>
    <row r="8">
      <c r="A8" s="4" t="inlineStr">
        <is>
          <t>4</t>
        </is>
      </c>
      <c r="B8" s="5" t="inlineStr">
        <is>
          <t>有檔案或操作問題，再透過 LINE 詢問</t>
        </is>
      </c>
      <c r="C8" s="5" t="inlineStr">
        <is>
          <t>□</t>
        </is>
      </c>
      <c r="D8" s="5" t="inlineStr">
        <is>
          <t>本表不提供醫療診斷</t>
        </is>
      </c>
    </row>
    <row r="11">
      <c r="A11" s="6" t="inlineStr">
        <is>
          <t>個人使用授權</t>
        </is>
      </c>
    </row>
    <row r="12">
      <c r="A12" s="7" t="inlineStr">
        <is>
          <t>本工作台限購買者本人使用，不得轉售、轉傳、公開分享或用於商業服務。</t>
        </is>
      </c>
    </row>
    <row r="14">
      <c r="A14" s="6" t="inlineStr">
        <is>
          <t>欄位說明</t>
        </is>
      </c>
    </row>
    <row r="15">
      <c r="A15" s="8" t="inlineStr">
        <is>
          <t>蛋白質</t>
        </is>
      </c>
      <c r="B15" t="inlineStr">
        <is>
          <t>有／沒有／不確定，先建立觀察習慣</t>
        </is>
      </c>
    </row>
    <row r="16">
      <c r="A16" s="8" t="inlineStr">
        <is>
          <t>蔬菜</t>
        </is>
      </c>
      <c r="B16" t="inlineStr">
        <is>
          <t>有／沒有／不確定，記錄比責備自己重要</t>
        </is>
      </c>
    </row>
    <row r="17">
      <c r="A17" s="8" t="inlineStr">
        <is>
          <t>飲料</t>
        </is>
      </c>
      <c r="B17" t="inlineStr">
        <is>
          <t>無糖／微糖／含糖／水</t>
        </is>
      </c>
    </row>
    <row r="18">
      <c r="A18" s="8" t="inlineStr">
        <is>
          <t>今日分數</t>
        </is>
      </c>
      <c r="B18" t="inlineStr">
        <is>
          <t>完成幾個小行動，不代表健康好壞</t>
        </is>
      </c>
    </row>
  </sheetData>
  <mergeCells count="7">
    <mergeCell ref="A12:H12"/>
    <mergeCell ref="B17:H17"/>
    <mergeCell ref="B18:H18"/>
    <mergeCell ref="A2:H2"/>
    <mergeCell ref="B16:H16"/>
    <mergeCell ref="B15:H15"/>
    <mergeCell ref="A1:H1"/>
  </mergeCells>
  <pageMargins left="0.25" right="0.25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F3B49B"/>
    <outlinePr summaryBelow="1" summaryRight="1"/>
    <pageSetUpPr fitToPage="1"/>
  </sheetPr>
  <dimension ref="A1:N3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14" customWidth="1" min="14" max="14"/>
  </cols>
  <sheetData>
    <row r="1">
      <c r="A1" s="1" t="inlineStr">
        <is>
          <t>每日外食記錄</t>
        </is>
      </c>
    </row>
    <row r="2">
      <c r="A2" s="9" t="inlineStr">
        <is>
          <t>黃色欄位請自行輸入；其餘欄位用來幫你回顧。</t>
        </is>
      </c>
    </row>
    <row r="4">
      <c r="A4" s="3" t="inlineStr">
        <is>
          <t>日期</t>
        </is>
      </c>
      <c r="B4" s="3" t="inlineStr">
        <is>
          <t>餐次</t>
        </is>
      </c>
      <c r="C4" s="3" t="inlineStr">
        <is>
          <t>外食情境</t>
        </is>
      </c>
      <c r="D4" s="3" t="inlineStr">
        <is>
          <t>餐點名稱</t>
        </is>
      </c>
      <c r="E4" s="3" t="inlineStr">
        <is>
          <t>蛋白質</t>
        </is>
      </c>
      <c r="F4" s="3" t="inlineStr">
        <is>
          <t>蔬菜</t>
        </is>
      </c>
      <c r="G4" s="3" t="inlineStr">
        <is>
          <t>飲料</t>
        </is>
      </c>
      <c r="H4" s="3" t="inlineStr">
        <is>
          <t>飲水杯數</t>
        </is>
      </c>
      <c r="I4" s="3" t="inlineStr">
        <is>
          <t>活動分鐘</t>
        </is>
      </c>
      <c r="J4" s="3" t="inlineStr">
        <is>
          <t>體重(kg)</t>
        </is>
      </c>
      <c r="K4" s="3" t="inlineStr">
        <is>
          <t>腰圍(cm)</t>
        </is>
      </c>
      <c r="L4" s="3" t="inlineStr">
        <is>
          <t>今日小行動數</t>
        </is>
      </c>
      <c r="M4" s="3" t="inlineStr">
        <is>
          <t>備註</t>
        </is>
      </c>
      <c r="N4" s="3" t="inlineStr">
        <is>
          <t>本筆完成</t>
        </is>
      </c>
    </row>
    <row r="5">
      <c r="A5" s="10" t="n"/>
      <c r="B5" s="11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3">
        <f>COUNTIF(E5:G5,"有")+IF(H5&gt;=6,1,0)+IF(I5&gt;0,1,0)</f>
        <v/>
      </c>
      <c r="M5" s="11" t="n"/>
      <c r="N5" s="13">
        <f>IF(COUNTA(A5:G5)=0,"",IF(L5&gt;=2,"完成","再觀察"))</f>
        <v/>
      </c>
    </row>
    <row r="6">
      <c r="A6" s="10" t="n"/>
      <c r="B6" s="11" t="n"/>
      <c r="C6" s="11" t="n"/>
      <c r="D6" s="11" t="n"/>
      <c r="E6" s="11" t="n"/>
      <c r="F6" s="11" t="n"/>
      <c r="G6" s="11" t="n"/>
      <c r="H6" s="11" t="n"/>
      <c r="I6" s="11" t="n"/>
      <c r="J6" s="12" t="n"/>
      <c r="K6" s="12" t="n"/>
      <c r="L6" s="13">
        <f>COUNTIF(E6:G6,"有")+IF(H6&gt;=6,1,0)+IF(I6&gt;0,1,0)</f>
        <v/>
      </c>
      <c r="M6" s="11" t="n"/>
      <c r="N6" s="13">
        <f>IF(COUNTA(A6:G6)=0,"",IF(L6&gt;=2,"完成","再觀察"))</f>
        <v/>
      </c>
    </row>
    <row r="7">
      <c r="A7" s="10" t="n"/>
      <c r="B7" s="11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3">
        <f>COUNTIF(E7:G7,"有")+IF(H7&gt;=6,1,0)+IF(I7&gt;0,1,0)</f>
        <v/>
      </c>
      <c r="M7" s="11" t="n"/>
      <c r="N7" s="13">
        <f>IF(COUNTA(A7:G7)=0,"",IF(L7&gt;=2,"完成","再觀察"))</f>
        <v/>
      </c>
    </row>
    <row r="8">
      <c r="A8" s="10" t="n"/>
      <c r="B8" s="11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3">
        <f>COUNTIF(E8:G8,"有")+IF(H8&gt;=6,1,0)+IF(I8&gt;0,1,0)</f>
        <v/>
      </c>
      <c r="M8" s="11" t="n"/>
      <c r="N8" s="13">
        <f>IF(COUNTA(A8:G8)=0,"",IF(L8&gt;=2,"完成","再觀察"))</f>
        <v/>
      </c>
    </row>
    <row r="9">
      <c r="A9" s="10" t="n"/>
      <c r="B9" s="11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3">
        <f>COUNTIF(E9:G9,"有")+IF(H9&gt;=6,1,0)+IF(I9&gt;0,1,0)</f>
        <v/>
      </c>
      <c r="M9" s="11" t="n"/>
      <c r="N9" s="13">
        <f>IF(COUNTA(A9:G9)=0,"",IF(L9&gt;=2,"完成","再觀察"))</f>
        <v/>
      </c>
    </row>
    <row r="10">
      <c r="A10" s="10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2" t="n"/>
      <c r="K10" s="12" t="n"/>
      <c r="L10" s="13">
        <f>COUNTIF(E10:G10,"有")+IF(H10&gt;=6,1,0)+IF(I10&gt;0,1,0)</f>
        <v/>
      </c>
      <c r="M10" s="11" t="n"/>
      <c r="N10" s="13">
        <f>IF(COUNTA(A10:G10)=0,"",IF(L10&gt;=2,"完成","再觀察"))</f>
        <v/>
      </c>
    </row>
    <row r="11">
      <c r="A11" s="10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3">
        <f>COUNTIF(E11:G11,"有")+IF(H11&gt;=6,1,0)+IF(I11&gt;0,1,0)</f>
        <v/>
      </c>
      <c r="M11" s="11" t="n"/>
      <c r="N11" s="13">
        <f>IF(COUNTA(A11:G11)=0,"",IF(L11&gt;=2,"完成","再觀察"))</f>
        <v/>
      </c>
    </row>
    <row r="12">
      <c r="A12" s="10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3">
        <f>COUNTIF(E12:G12,"有")+IF(H12&gt;=6,1,0)+IF(I12&gt;0,1,0)</f>
        <v/>
      </c>
      <c r="M12" s="11" t="n"/>
      <c r="N12" s="13">
        <f>IF(COUNTA(A12:G12)=0,"",IF(L12&gt;=2,"完成","再觀察"))</f>
        <v/>
      </c>
    </row>
    <row r="13">
      <c r="A13" s="10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3">
        <f>COUNTIF(E13:G13,"有")+IF(H13&gt;=6,1,0)+IF(I13&gt;0,1,0)</f>
        <v/>
      </c>
      <c r="M13" s="11" t="n"/>
      <c r="N13" s="13">
        <f>IF(COUNTA(A13:G13)=0,"",IF(L13&gt;=2,"完成","再觀察"))</f>
        <v/>
      </c>
    </row>
    <row r="14">
      <c r="A14" s="10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2" t="n"/>
      <c r="K14" s="12" t="n"/>
      <c r="L14" s="13">
        <f>COUNTIF(E14:G14,"有")+IF(H14&gt;=6,1,0)+IF(I14&gt;0,1,0)</f>
        <v/>
      </c>
      <c r="M14" s="11" t="n"/>
      <c r="N14" s="13">
        <f>IF(COUNTA(A14:G14)=0,"",IF(L14&gt;=2,"完成","再觀察"))</f>
        <v/>
      </c>
    </row>
    <row r="15">
      <c r="A15" s="10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3">
        <f>COUNTIF(E15:G15,"有")+IF(H15&gt;=6,1,0)+IF(I15&gt;0,1,0)</f>
        <v/>
      </c>
      <c r="M15" s="11" t="n"/>
      <c r="N15" s="13">
        <f>IF(COUNTA(A15:G15)=0,"",IF(L15&gt;=2,"完成","再觀察"))</f>
        <v/>
      </c>
    </row>
    <row r="16">
      <c r="A16" s="10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3">
        <f>COUNTIF(E16:G16,"有")+IF(H16&gt;=6,1,0)+IF(I16&gt;0,1,0)</f>
        <v/>
      </c>
      <c r="M16" s="11" t="n"/>
      <c r="N16" s="13">
        <f>IF(COUNTA(A16:G16)=0,"",IF(L16&gt;=2,"完成","再觀察"))</f>
        <v/>
      </c>
    </row>
    <row r="17">
      <c r="A17" s="10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3">
        <f>COUNTIF(E17:G17,"有")+IF(H17&gt;=6,1,0)+IF(I17&gt;0,1,0)</f>
        <v/>
      </c>
      <c r="M17" s="11" t="n"/>
      <c r="N17" s="13">
        <f>IF(COUNTA(A17:G17)=0,"",IF(L17&gt;=2,"完成","再觀察"))</f>
        <v/>
      </c>
    </row>
    <row r="18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2" t="n"/>
      <c r="K18" s="12" t="n"/>
      <c r="L18" s="13">
        <f>COUNTIF(E18:G18,"有")+IF(H18&gt;=6,1,0)+IF(I18&gt;0,1,0)</f>
        <v/>
      </c>
      <c r="M18" s="11" t="n"/>
      <c r="N18" s="13">
        <f>IF(COUNTA(A18:G18)=0,"",IF(L18&gt;=2,"完成","再觀察"))</f>
        <v/>
      </c>
    </row>
    <row r="19">
      <c r="A19" s="10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3">
        <f>COUNTIF(E19:G19,"有")+IF(H19&gt;=6,1,0)+IF(I19&gt;0,1,0)</f>
        <v/>
      </c>
      <c r="M19" s="11" t="n"/>
      <c r="N19" s="13">
        <f>IF(COUNTA(A19:G19)=0,"",IF(L19&gt;=2,"完成","再觀察"))</f>
        <v/>
      </c>
    </row>
    <row r="20">
      <c r="A20" s="10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3">
        <f>COUNTIF(E20:G20,"有")+IF(H20&gt;=6,1,0)+IF(I20&gt;0,1,0)</f>
        <v/>
      </c>
      <c r="M20" s="11" t="n"/>
      <c r="N20" s="13">
        <f>IF(COUNTA(A20:G20)=0,"",IF(L20&gt;=2,"完成","再觀察"))</f>
        <v/>
      </c>
    </row>
    <row r="21">
      <c r="A21" s="10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3">
        <f>COUNTIF(E21:G21,"有")+IF(H21&gt;=6,1,0)+IF(I21&gt;0,1,0)</f>
        <v/>
      </c>
      <c r="M21" s="11" t="n"/>
      <c r="N21" s="13">
        <f>IF(COUNTA(A21:G21)=0,"",IF(L21&gt;=2,"完成","再觀察"))</f>
        <v/>
      </c>
    </row>
    <row r="22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2" t="n"/>
      <c r="K22" s="12" t="n"/>
      <c r="L22" s="13">
        <f>COUNTIF(E22:G22,"有")+IF(H22&gt;=6,1,0)+IF(I22&gt;0,1,0)</f>
        <v/>
      </c>
      <c r="M22" s="11" t="n"/>
      <c r="N22" s="13">
        <f>IF(COUNTA(A22:G22)=0,"",IF(L22&gt;=2,"完成","再觀察"))</f>
        <v/>
      </c>
    </row>
    <row r="23">
      <c r="A23" s="10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3">
        <f>COUNTIF(E23:G23,"有")+IF(H23&gt;=6,1,0)+IF(I23&gt;0,1,0)</f>
        <v/>
      </c>
      <c r="M23" s="11" t="n"/>
      <c r="N23" s="13">
        <f>IF(COUNTA(A23:G23)=0,"",IF(L23&gt;=2,"完成","再觀察"))</f>
        <v/>
      </c>
    </row>
    <row r="24">
      <c r="A24" s="10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3">
        <f>COUNTIF(E24:G24,"有")+IF(H24&gt;=6,1,0)+IF(I24&gt;0,1,0)</f>
        <v/>
      </c>
      <c r="M24" s="11" t="n"/>
      <c r="N24" s="13">
        <f>IF(COUNTA(A24:G24)=0,"",IF(L24&gt;=2,"完成","再觀察"))</f>
        <v/>
      </c>
    </row>
    <row r="25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3">
        <f>COUNTIF(E25:G25,"有")+IF(H25&gt;=6,1,0)+IF(I25&gt;0,1,0)</f>
        <v/>
      </c>
      <c r="M25" s="11" t="n"/>
      <c r="N25" s="13">
        <f>IF(COUNTA(A25:G25)=0,"",IF(L25&gt;=2,"完成","再觀察"))</f>
        <v/>
      </c>
    </row>
    <row r="26">
      <c r="A26" s="10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2" t="n"/>
      <c r="K26" s="12" t="n"/>
      <c r="L26" s="13">
        <f>COUNTIF(E26:G26,"有")+IF(H26&gt;=6,1,0)+IF(I26&gt;0,1,0)</f>
        <v/>
      </c>
      <c r="M26" s="11" t="n"/>
      <c r="N26" s="13">
        <f>IF(COUNTA(A26:G26)=0,"",IF(L26&gt;=2,"完成","再觀察"))</f>
        <v/>
      </c>
    </row>
    <row r="27">
      <c r="A27" s="10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3">
        <f>COUNTIF(E27:G27,"有")+IF(H27&gt;=6,1,0)+IF(I27&gt;0,1,0)</f>
        <v/>
      </c>
      <c r="M27" s="11" t="n"/>
      <c r="N27" s="13">
        <f>IF(COUNTA(A27:G27)=0,"",IF(L27&gt;=2,"完成","再觀察"))</f>
        <v/>
      </c>
    </row>
    <row r="28">
      <c r="A28" s="10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3">
        <f>COUNTIF(E28:G28,"有")+IF(H28&gt;=6,1,0)+IF(I28&gt;0,1,0)</f>
        <v/>
      </c>
      <c r="M28" s="11" t="n"/>
      <c r="N28" s="13">
        <f>IF(COUNTA(A28:G28)=0,"",IF(L28&gt;=2,"完成","再觀察"))</f>
        <v/>
      </c>
    </row>
    <row r="29">
      <c r="A29" s="10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3">
        <f>COUNTIF(E29:G29,"有")+IF(H29&gt;=6,1,0)+IF(I29&gt;0,1,0)</f>
        <v/>
      </c>
      <c r="M29" s="11" t="n"/>
      <c r="N29" s="13">
        <f>IF(COUNTA(A29:G29)=0,"",IF(L29&gt;=2,"完成","再觀察"))</f>
        <v/>
      </c>
    </row>
    <row r="30">
      <c r="A30" s="10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2" t="n"/>
      <c r="K30" s="12" t="n"/>
      <c r="L30" s="13">
        <f>COUNTIF(E30:G30,"有")+IF(H30&gt;=6,1,0)+IF(I30&gt;0,1,0)</f>
        <v/>
      </c>
      <c r="M30" s="11" t="n"/>
      <c r="N30" s="13">
        <f>IF(COUNTA(A30:G30)=0,"",IF(L30&gt;=2,"完成","再觀察"))</f>
        <v/>
      </c>
    </row>
    <row r="31">
      <c r="A31" s="10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3">
        <f>COUNTIF(E31:G31,"有")+IF(H31&gt;=6,1,0)+IF(I31&gt;0,1,0)</f>
        <v/>
      </c>
      <c r="M31" s="11" t="n"/>
      <c r="N31" s="13">
        <f>IF(COUNTA(A31:G31)=0,"",IF(L31&gt;=2,"完成","再觀察"))</f>
        <v/>
      </c>
    </row>
    <row r="32">
      <c r="A32" s="10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3">
        <f>COUNTIF(E32:G32,"有")+IF(H32&gt;=6,1,0)+IF(I32&gt;0,1,0)</f>
        <v/>
      </c>
      <c r="M32" s="11" t="n"/>
      <c r="N32" s="13">
        <f>IF(COUNTA(A32:G32)=0,"",IF(L32&gt;=2,"完成","再觀察"))</f>
        <v/>
      </c>
    </row>
    <row r="33">
      <c r="A33" s="10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3">
        <f>COUNTIF(E33:G33,"有")+IF(H33&gt;=6,1,0)+IF(I33&gt;0,1,0)</f>
        <v/>
      </c>
      <c r="M33" s="11" t="n"/>
      <c r="N33" s="13">
        <f>IF(COUNTA(A33:G33)=0,"",IF(L33&gt;=2,"完成","再觀察"))</f>
        <v/>
      </c>
    </row>
    <row r="34">
      <c r="A34" s="10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2" t="n"/>
      <c r="K34" s="12" t="n"/>
      <c r="L34" s="13">
        <f>COUNTIF(E34:G34,"有")+IF(H34&gt;=6,1,0)+IF(I34&gt;0,1,0)</f>
        <v/>
      </c>
      <c r="M34" s="11" t="n"/>
      <c r="N34" s="13">
        <f>IF(COUNTA(A34:G34)=0,"",IF(L34&gt;=2,"完成","再觀察"))</f>
        <v/>
      </c>
    </row>
    <row r="35">
      <c r="A35" s="10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3">
        <f>COUNTIF(E35:G35,"有")+IF(H35&gt;=6,1,0)+IF(I35&gt;0,1,0)</f>
        <v/>
      </c>
      <c r="M35" s="11" t="n"/>
      <c r="N35" s="13">
        <f>IF(COUNTA(A35:G35)=0,"",IF(L35&gt;=2,"完成","再觀察"))</f>
        <v/>
      </c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  <c r="K36" s="12" t="n"/>
      <c r="L36" s="13">
        <f>COUNTIF(E36:G36,"有")+IF(H36&gt;=6,1,0)+IF(I36&gt;0,1,0)</f>
        <v/>
      </c>
      <c r="M36" s="11" t="n"/>
      <c r="N36" s="13">
        <f>IF(COUNTA(A36:G36)=0,"",IF(L36&gt;=2,"完成","再觀察"))</f>
        <v/>
      </c>
    </row>
    <row r="37">
      <c r="A37" s="10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  <c r="K37" s="12" t="n"/>
      <c r="L37" s="13">
        <f>COUNTIF(E37:G37,"有")+IF(H37&gt;=6,1,0)+IF(I37&gt;0,1,0)</f>
        <v/>
      </c>
      <c r="M37" s="11" t="n"/>
      <c r="N37" s="13">
        <f>IF(COUNTA(A37:G37)=0,"",IF(L37&gt;=2,"完成","再觀察"))</f>
        <v/>
      </c>
    </row>
    <row r="38">
      <c r="A38" s="10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2" t="n"/>
      <c r="K38" s="12" t="n"/>
      <c r="L38" s="13">
        <f>COUNTIF(E38:G38,"有")+IF(H38&gt;=6,1,0)+IF(I38&gt;0,1,0)</f>
        <v/>
      </c>
      <c r="M38" s="11" t="n"/>
      <c r="N38" s="13">
        <f>IF(COUNTA(A38:G38)=0,"",IF(L38&gt;=2,"完成","再觀察"))</f>
        <v/>
      </c>
    </row>
    <row r="39">
      <c r="A39" s="10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2" t="n"/>
      <c r="K39" s="12" t="n"/>
      <c r="L39" s="13">
        <f>COUNTIF(E39:G39,"有")+IF(H39&gt;=6,1,0)+IF(I39&gt;0,1,0)</f>
        <v/>
      </c>
      <c r="M39" s="11" t="n"/>
      <c r="N39" s="13">
        <f>IF(COUNTA(A39:G39)=0,"",IF(L39&gt;=2,"完成","再觀察"))</f>
        <v/>
      </c>
    </row>
    <row r="40">
      <c r="A40" s="10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2" t="n"/>
      <c r="K40" s="12" t="n"/>
      <c r="L40" s="13">
        <f>COUNTIF(E40:G40,"有")+IF(H40&gt;=6,1,0)+IF(I40&gt;0,1,0)</f>
        <v/>
      </c>
      <c r="M40" s="11" t="n"/>
      <c r="N40" s="13">
        <f>IF(COUNTA(A40:G40)=0,"",IF(L40&gt;=2,"完成","再觀察"))</f>
        <v/>
      </c>
    </row>
    <row r="41">
      <c r="A41" s="10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2" t="n"/>
      <c r="K41" s="12" t="n"/>
      <c r="L41" s="13">
        <f>COUNTIF(E41:G41,"有")+IF(H41&gt;=6,1,0)+IF(I41&gt;0,1,0)</f>
        <v/>
      </c>
      <c r="M41" s="11" t="n"/>
      <c r="N41" s="13">
        <f>IF(COUNTA(A41:G41)=0,"",IF(L41&gt;=2,"完成","再觀察"))</f>
        <v/>
      </c>
    </row>
    <row r="42">
      <c r="A42" s="10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2" t="n"/>
      <c r="K42" s="12" t="n"/>
      <c r="L42" s="13">
        <f>COUNTIF(E42:G42,"有")+IF(H42&gt;=6,1,0)+IF(I42&gt;0,1,0)</f>
        <v/>
      </c>
      <c r="M42" s="11" t="n"/>
      <c r="N42" s="13">
        <f>IF(COUNTA(A42:G42)=0,"",IF(L42&gt;=2,"完成","再觀察"))</f>
        <v/>
      </c>
    </row>
    <row r="43">
      <c r="A43" s="10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2" t="n"/>
      <c r="K43" s="12" t="n"/>
      <c r="L43" s="13">
        <f>COUNTIF(E43:G43,"有")+IF(H43&gt;=6,1,0)+IF(I43&gt;0,1,0)</f>
        <v/>
      </c>
      <c r="M43" s="11" t="n"/>
      <c r="N43" s="13">
        <f>IF(COUNTA(A43:G43)=0,"",IF(L43&gt;=2,"完成","再觀察"))</f>
        <v/>
      </c>
    </row>
    <row r="44">
      <c r="A44" s="10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2" t="n"/>
      <c r="K44" s="12" t="n"/>
      <c r="L44" s="13">
        <f>COUNTIF(E44:G44,"有")+IF(H44&gt;=6,1,0)+IF(I44&gt;0,1,0)</f>
        <v/>
      </c>
      <c r="M44" s="11" t="n"/>
      <c r="N44" s="13">
        <f>IF(COUNTA(A44:G44)=0,"",IF(L44&gt;=2,"完成","再觀察"))</f>
        <v/>
      </c>
    </row>
    <row r="45">
      <c r="A45" s="10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2" t="n"/>
      <c r="K45" s="12" t="n"/>
      <c r="L45" s="13">
        <f>COUNTIF(E45:G45,"有")+IF(H45&gt;=6,1,0)+IF(I45&gt;0,1,0)</f>
        <v/>
      </c>
      <c r="M45" s="11" t="n"/>
      <c r="N45" s="13">
        <f>IF(COUNTA(A45:G45)=0,"",IF(L45&gt;=2,"完成","再觀察"))</f>
        <v/>
      </c>
    </row>
    <row r="46">
      <c r="A46" s="10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2" t="n"/>
      <c r="K46" s="12" t="n"/>
      <c r="L46" s="13">
        <f>COUNTIF(E46:G46,"有")+IF(H46&gt;=6,1,0)+IF(I46&gt;0,1,0)</f>
        <v/>
      </c>
      <c r="M46" s="11" t="n"/>
      <c r="N46" s="13">
        <f>IF(COUNTA(A46:G46)=0,"",IF(L46&gt;=2,"完成","再觀察"))</f>
        <v/>
      </c>
    </row>
    <row r="47">
      <c r="A47" s="10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2" t="n"/>
      <c r="K47" s="12" t="n"/>
      <c r="L47" s="13">
        <f>COUNTIF(E47:G47,"有")+IF(H47&gt;=6,1,0)+IF(I47&gt;0,1,0)</f>
        <v/>
      </c>
      <c r="M47" s="11" t="n"/>
      <c r="N47" s="13">
        <f>IF(COUNTA(A47:G47)=0,"",IF(L47&gt;=2,"完成","再觀察"))</f>
        <v/>
      </c>
    </row>
    <row r="48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2" t="n"/>
      <c r="K48" s="12" t="n"/>
      <c r="L48" s="13">
        <f>COUNTIF(E48:G48,"有")+IF(H48&gt;=6,1,0)+IF(I48&gt;0,1,0)</f>
        <v/>
      </c>
      <c r="M48" s="11" t="n"/>
      <c r="N48" s="13">
        <f>IF(COUNTA(A48:G48)=0,"",IF(L48&gt;=2,"完成","再觀察"))</f>
        <v/>
      </c>
    </row>
    <row r="49">
      <c r="A49" s="10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2" t="n"/>
      <c r="K49" s="12" t="n"/>
      <c r="L49" s="13">
        <f>COUNTIF(E49:G49,"有")+IF(H49&gt;=6,1,0)+IF(I49&gt;0,1,0)</f>
        <v/>
      </c>
      <c r="M49" s="11" t="n"/>
      <c r="N49" s="13">
        <f>IF(COUNTA(A49:G49)=0,"",IF(L49&gt;=2,"完成","再觀察"))</f>
        <v/>
      </c>
    </row>
    <row r="50">
      <c r="A50" s="10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2" t="n"/>
      <c r="K50" s="12" t="n"/>
      <c r="L50" s="13">
        <f>COUNTIF(E50:G50,"有")+IF(H50&gt;=6,1,0)+IF(I50&gt;0,1,0)</f>
        <v/>
      </c>
      <c r="M50" s="11" t="n"/>
      <c r="N50" s="13">
        <f>IF(COUNTA(A50:G50)=0,"",IF(L50&gt;=2,"完成","再觀察"))</f>
        <v/>
      </c>
    </row>
    <row r="51">
      <c r="A51" s="10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2" t="n"/>
      <c r="K51" s="12" t="n"/>
      <c r="L51" s="13">
        <f>COUNTIF(E51:G51,"有")+IF(H51&gt;=6,1,0)+IF(I51&gt;0,1,0)</f>
        <v/>
      </c>
      <c r="M51" s="11" t="n"/>
      <c r="N51" s="13">
        <f>IF(COUNTA(A51:G51)=0,"",IF(L51&gt;=2,"完成","再觀察"))</f>
        <v/>
      </c>
    </row>
    <row r="52">
      <c r="A52" s="10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2" t="n"/>
      <c r="K52" s="12" t="n"/>
      <c r="L52" s="13">
        <f>COUNTIF(E52:G52,"有")+IF(H52&gt;=6,1,0)+IF(I52&gt;0,1,0)</f>
        <v/>
      </c>
      <c r="M52" s="11" t="n"/>
      <c r="N52" s="13">
        <f>IF(COUNTA(A52:G52)=0,"",IF(L52&gt;=2,"完成","再觀察"))</f>
        <v/>
      </c>
    </row>
    <row r="53">
      <c r="A53" s="10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2" t="n"/>
      <c r="K53" s="12" t="n"/>
      <c r="L53" s="13">
        <f>COUNTIF(E53:G53,"有")+IF(H53&gt;=6,1,0)+IF(I53&gt;0,1,0)</f>
        <v/>
      </c>
      <c r="M53" s="11" t="n"/>
      <c r="N53" s="13">
        <f>IF(COUNTA(A53:G53)=0,"",IF(L53&gt;=2,"完成","再觀察"))</f>
        <v/>
      </c>
    </row>
    <row r="54">
      <c r="A54" s="10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2" t="n"/>
      <c r="K54" s="12" t="n"/>
      <c r="L54" s="13">
        <f>COUNTIF(E54:G54,"有")+IF(H54&gt;=6,1,0)+IF(I54&gt;0,1,0)</f>
        <v/>
      </c>
      <c r="M54" s="11" t="n"/>
      <c r="N54" s="13">
        <f>IF(COUNTA(A54:G54)=0,"",IF(L54&gt;=2,"完成","再觀察"))</f>
        <v/>
      </c>
    </row>
    <row r="55">
      <c r="A55" s="10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2" t="n"/>
      <c r="K55" s="12" t="n"/>
      <c r="L55" s="13">
        <f>COUNTIF(E55:G55,"有")+IF(H55&gt;=6,1,0)+IF(I55&gt;0,1,0)</f>
        <v/>
      </c>
      <c r="M55" s="11" t="n"/>
      <c r="N55" s="13">
        <f>IF(COUNTA(A55:G55)=0,"",IF(L55&gt;=2,"完成","再觀察"))</f>
        <v/>
      </c>
    </row>
    <row r="56">
      <c r="A56" s="10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2" t="n"/>
      <c r="K56" s="12" t="n"/>
      <c r="L56" s="13">
        <f>COUNTIF(E56:G56,"有")+IF(H56&gt;=6,1,0)+IF(I56&gt;0,1,0)</f>
        <v/>
      </c>
      <c r="M56" s="11" t="n"/>
      <c r="N56" s="13">
        <f>IF(COUNTA(A56:G56)=0,"",IF(L56&gt;=2,"完成","再觀察"))</f>
        <v/>
      </c>
    </row>
    <row r="57">
      <c r="A57" s="10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2" t="n"/>
      <c r="K57" s="12" t="n"/>
      <c r="L57" s="13">
        <f>COUNTIF(E57:G57,"有")+IF(H57&gt;=6,1,0)+IF(I57&gt;0,1,0)</f>
        <v/>
      </c>
      <c r="M57" s="11" t="n"/>
      <c r="N57" s="13">
        <f>IF(COUNTA(A57:G57)=0,"",IF(L57&gt;=2,"完成","再觀察"))</f>
        <v/>
      </c>
    </row>
    <row r="58">
      <c r="A58" s="10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2" t="n"/>
      <c r="K58" s="12" t="n"/>
      <c r="L58" s="13">
        <f>COUNTIF(E58:G58,"有")+IF(H58&gt;=6,1,0)+IF(I58&gt;0,1,0)</f>
        <v/>
      </c>
      <c r="M58" s="11" t="n"/>
      <c r="N58" s="13">
        <f>IF(COUNTA(A58:G58)=0,"",IF(L58&gt;=2,"完成","再觀察"))</f>
        <v/>
      </c>
    </row>
    <row r="59">
      <c r="A59" s="10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2" t="n"/>
      <c r="K59" s="12" t="n"/>
      <c r="L59" s="13">
        <f>COUNTIF(E59:G59,"有")+IF(H59&gt;=6,1,0)+IF(I59&gt;0,1,0)</f>
        <v/>
      </c>
      <c r="M59" s="11" t="n"/>
      <c r="N59" s="13">
        <f>IF(COUNTA(A59:G59)=0,"",IF(L59&gt;=2,"完成","再觀察"))</f>
        <v/>
      </c>
    </row>
    <row r="60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2" t="n"/>
      <c r="K60" s="12" t="n"/>
      <c r="L60" s="13">
        <f>COUNTIF(E60:G60,"有")+IF(H60&gt;=6,1,0)+IF(I60&gt;0,1,0)</f>
        <v/>
      </c>
      <c r="M60" s="11" t="n"/>
      <c r="N60" s="13">
        <f>IF(COUNTA(A60:G60)=0,"",IF(L60&gt;=2,"完成","再觀察"))</f>
        <v/>
      </c>
    </row>
    <row r="61">
      <c r="A61" s="10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2" t="n"/>
      <c r="K61" s="12" t="n"/>
      <c r="L61" s="13">
        <f>COUNTIF(E61:G61,"有")+IF(H61&gt;=6,1,0)+IF(I61&gt;0,1,0)</f>
        <v/>
      </c>
      <c r="M61" s="11" t="n"/>
      <c r="N61" s="13">
        <f>IF(COUNTA(A61:G61)=0,"",IF(L61&gt;=2,"完成","再觀察"))</f>
        <v/>
      </c>
    </row>
    <row r="62">
      <c r="A62" s="10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2" t="n"/>
      <c r="K62" s="12" t="n"/>
      <c r="L62" s="13">
        <f>COUNTIF(E62:G62,"有")+IF(H62&gt;=6,1,0)+IF(I62&gt;0,1,0)</f>
        <v/>
      </c>
      <c r="M62" s="11" t="n"/>
      <c r="N62" s="13">
        <f>IF(COUNTA(A62:G62)=0,"",IF(L62&gt;=2,"完成","再觀察"))</f>
        <v/>
      </c>
    </row>
    <row r="63">
      <c r="A63" s="10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2" t="n"/>
      <c r="K63" s="12" t="n"/>
      <c r="L63" s="13">
        <f>COUNTIF(E63:G63,"有")+IF(H63&gt;=6,1,0)+IF(I63&gt;0,1,0)</f>
        <v/>
      </c>
      <c r="M63" s="11" t="n"/>
      <c r="N63" s="13">
        <f>IF(COUNTA(A63:G63)=0,"",IF(L63&gt;=2,"完成","再觀察"))</f>
        <v/>
      </c>
    </row>
    <row r="64">
      <c r="A64" s="10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2" t="n"/>
      <c r="K64" s="12" t="n"/>
      <c r="L64" s="13">
        <f>COUNTIF(E64:G64,"有")+IF(H64&gt;=6,1,0)+IF(I64&gt;0,1,0)</f>
        <v/>
      </c>
      <c r="M64" s="11" t="n"/>
      <c r="N64" s="13">
        <f>IF(COUNTA(A64:G64)=0,"",IF(L64&gt;=2,"完成","再觀察"))</f>
        <v/>
      </c>
    </row>
    <row r="65">
      <c r="A65" s="10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2" t="n"/>
      <c r="K65" s="12" t="n"/>
      <c r="L65" s="13">
        <f>COUNTIF(E65:G65,"有")+IF(H65&gt;=6,1,0)+IF(I65&gt;0,1,0)</f>
        <v/>
      </c>
      <c r="M65" s="11" t="n"/>
      <c r="N65" s="13">
        <f>IF(COUNTA(A65:G65)=0,"",IF(L65&gt;=2,"完成","再觀察"))</f>
        <v/>
      </c>
    </row>
    <row r="66">
      <c r="A66" s="10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2" t="n"/>
      <c r="K66" s="12" t="n"/>
      <c r="L66" s="13">
        <f>COUNTIF(E66:G66,"有")+IF(H66&gt;=6,1,0)+IF(I66&gt;0,1,0)</f>
        <v/>
      </c>
      <c r="M66" s="11" t="n"/>
      <c r="N66" s="13">
        <f>IF(COUNTA(A66:G66)=0,"",IF(L66&gt;=2,"完成","再觀察"))</f>
        <v/>
      </c>
    </row>
    <row r="67">
      <c r="A67" s="10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2" t="n"/>
      <c r="K67" s="12" t="n"/>
      <c r="L67" s="13">
        <f>COUNTIF(E67:G67,"有")+IF(H67&gt;=6,1,0)+IF(I67&gt;0,1,0)</f>
        <v/>
      </c>
      <c r="M67" s="11" t="n"/>
      <c r="N67" s="13">
        <f>IF(COUNTA(A67:G67)=0,"",IF(L67&gt;=2,"完成","再觀察"))</f>
        <v/>
      </c>
    </row>
    <row r="68">
      <c r="A68" s="10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2" t="n"/>
      <c r="K68" s="12" t="n"/>
      <c r="L68" s="13">
        <f>COUNTIF(E68:G68,"有")+IF(H68&gt;=6,1,0)+IF(I68&gt;0,1,0)</f>
        <v/>
      </c>
      <c r="M68" s="11" t="n"/>
      <c r="N68" s="13">
        <f>IF(COUNTA(A68:G68)=0,"",IF(L68&gt;=2,"完成","再觀察"))</f>
        <v/>
      </c>
    </row>
    <row r="69">
      <c r="A69" s="10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2" t="n"/>
      <c r="K69" s="12" t="n"/>
      <c r="L69" s="13">
        <f>COUNTIF(E69:G69,"有")+IF(H69&gt;=6,1,0)+IF(I69&gt;0,1,0)</f>
        <v/>
      </c>
      <c r="M69" s="11" t="n"/>
      <c r="N69" s="13">
        <f>IF(COUNTA(A69:G69)=0,"",IF(L69&gt;=2,"完成","再觀察"))</f>
        <v/>
      </c>
    </row>
    <row r="70">
      <c r="A70" s="10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2" t="n"/>
      <c r="K70" s="12" t="n"/>
      <c r="L70" s="13">
        <f>COUNTIF(E70:G70,"有")+IF(H70&gt;=6,1,0)+IF(I70&gt;0,1,0)</f>
        <v/>
      </c>
      <c r="M70" s="11" t="n"/>
      <c r="N70" s="13">
        <f>IF(COUNTA(A70:G70)=0,"",IF(L70&gt;=2,"完成","再觀察"))</f>
        <v/>
      </c>
    </row>
    <row r="71">
      <c r="A71" s="10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2" t="n"/>
      <c r="K71" s="12" t="n"/>
      <c r="L71" s="13">
        <f>COUNTIF(E71:G71,"有")+IF(H71&gt;=6,1,0)+IF(I71&gt;0,1,0)</f>
        <v/>
      </c>
      <c r="M71" s="11" t="n"/>
      <c r="N71" s="13">
        <f>IF(COUNTA(A71:G71)=0,"",IF(L71&gt;=2,"完成","再觀察"))</f>
        <v/>
      </c>
    </row>
    <row r="72">
      <c r="A72" s="10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2" t="n"/>
      <c r="K72" s="12" t="n"/>
      <c r="L72" s="13">
        <f>COUNTIF(E72:G72,"有")+IF(H72&gt;=6,1,0)+IF(I72&gt;0,1,0)</f>
        <v/>
      </c>
      <c r="M72" s="11" t="n"/>
      <c r="N72" s="13">
        <f>IF(COUNTA(A72:G72)=0,"",IF(L72&gt;=2,"完成","再觀察"))</f>
        <v/>
      </c>
    </row>
    <row r="73">
      <c r="A73" s="10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2" t="n"/>
      <c r="K73" s="12" t="n"/>
      <c r="L73" s="13">
        <f>COUNTIF(E73:G73,"有")+IF(H73&gt;=6,1,0)+IF(I73&gt;0,1,0)</f>
        <v/>
      </c>
      <c r="M73" s="11" t="n"/>
      <c r="N73" s="13">
        <f>IF(COUNTA(A73:G73)=0,"",IF(L73&gt;=2,"完成","再觀察"))</f>
        <v/>
      </c>
    </row>
    <row r="74">
      <c r="A74" s="10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2" t="n"/>
      <c r="K74" s="12" t="n"/>
      <c r="L74" s="13">
        <f>COUNTIF(E74:G74,"有")+IF(H74&gt;=6,1,0)+IF(I74&gt;0,1,0)</f>
        <v/>
      </c>
      <c r="M74" s="11" t="n"/>
      <c r="N74" s="13">
        <f>IF(COUNTA(A74:G74)=0,"",IF(L74&gt;=2,"完成","再觀察"))</f>
        <v/>
      </c>
    </row>
    <row r="75">
      <c r="A75" s="10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2" t="n"/>
      <c r="K75" s="12" t="n"/>
      <c r="L75" s="13">
        <f>COUNTIF(E75:G75,"有")+IF(H75&gt;=6,1,0)+IF(I75&gt;0,1,0)</f>
        <v/>
      </c>
      <c r="M75" s="11" t="n"/>
      <c r="N75" s="13">
        <f>IF(COUNTA(A75:G75)=0,"",IF(L75&gt;=2,"完成","再觀察"))</f>
        <v/>
      </c>
    </row>
    <row r="76">
      <c r="A76" s="10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2" t="n"/>
      <c r="K76" s="12" t="n"/>
      <c r="L76" s="13">
        <f>COUNTIF(E76:G76,"有")+IF(H76&gt;=6,1,0)+IF(I76&gt;0,1,0)</f>
        <v/>
      </c>
      <c r="M76" s="11" t="n"/>
      <c r="N76" s="13">
        <f>IF(COUNTA(A76:G76)=0,"",IF(L76&gt;=2,"完成","再觀察"))</f>
        <v/>
      </c>
    </row>
    <row r="77">
      <c r="A77" s="10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2" t="n"/>
      <c r="K77" s="12" t="n"/>
      <c r="L77" s="13">
        <f>COUNTIF(E77:G77,"有")+IF(H77&gt;=6,1,0)+IF(I77&gt;0,1,0)</f>
        <v/>
      </c>
      <c r="M77" s="11" t="n"/>
      <c r="N77" s="13">
        <f>IF(COUNTA(A77:G77)=0,"",IF(L77&gt;=2,"完成","再觀察"))</f>
        <v/>
      </c>
    </row>
    <row r="78">
      <c r="A78" s="10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2" t="n"/>
      <c r="K78" s="12" t="n"/>
      <c r="L78" s="13">
        <f>COUNTIF(E78:G78,"有")+IF(H78&gt;=6,1,0)+IF(I78&gt;0,1,0)</f>
        <v/>
      </c>
      <c r="M78" s="11" t="n"/>
      <c r="N78" s="13">
        <f>IF(COUNTA(A78:G78)=0,"",IF(L78&gt;=2,"完成","再觀察"))</f>
        <v/>
      </c>
    </row>
    <row r="79">
      <c r="A79" s="10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2" t="n"/>
      <c r="K79" s="12" t="n"/>
      <c r="L79" s="13">
        <f>COUNTIF(E79:G79,"有")+IF(H79&gt;=6,1,0)+IF(I79&gt;0,1,0)</f>
        <v/>
      </c>
      <c r="M79" s="11" t="n"/>
      <c r="N79" s="13">
        <f>IF(COUNTA(A79:G79)=0,"",IF(L79&gt;=2,"完成","再觀察"))</f>
        <v/>
      </c>
    </row>
    <row r="80">
      <c r="A80" s="10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2" t="n"/>
      <c r="K80" s="12" t="n"/>
      <c r="L80" s="13">
        <f>COUNTIF(E80:G80,"有")+IF(H80&gt;=6,1,0)+IF(I80&gt;0,1,0)</f>
        <v/>
      </c>
      <c r="M80" s="11" t="n"/>
      <c r="N80" s="13">
        <f>IF(COUNTA(A80:G80)=0,"",IF(L80&gt;=2,"完成","再觀察"))</f>
        <v/>
      </c>
    </row>
    <row r="81">
      <c r="A81" s="10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2" t="n"/>
      <c r="K81" s="12" t="n"/>
      <c r="L81" s="13">
        <f>COUNTIF(E81:G81,"有")+IF(H81&gt;=6,1,0)+IF(I81&gt;0,1,0)</f>
        <v/>
      </c>
      <c r="M81" s="11" t="n"/>
      <c r="N81" s="13">
        <f>IF(COUNTA(A81:G81)=0,"",IF(L81&gt;=2,"完成","再觀察"))</f>
        <v/>
      </c>
    </row>
    <row r="82">
      <c r="A82" s="10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2" t="n"/>
      <c r="K82" s="12" t="n"/>
      <c r="L82" s="13">
        <f>COUNTIF(E82:G82,"有")+IF(H82&gt;=6,1,0)+IF(I82&gt;0,1,0)</f>
        <v/>
      </c>
      <c r="M82" s="11" t="n"/>
      <c r="N82" s="13">
        <f>IF(COUNTA(A82:G82)=0,"",IF(L82&gt;=2,"完成","再觀察"))</f>
        <v/>
      </c>
    </row>
    <row r="83">
      <c r="A83" s="10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2" t="n"/>
      <c r="K83" s="12" t="n"/>
      <c r="L83" s="13">
        <f>COUNTIF(E83:G83,"有")+IF(H83&gt;=6,1,0)+IF(I83&gt;0,1,0)</f>
        <v/>
      </c>
      <c r="M83" s="11" t="n"/>
      <c r="N83" s="13">
        <f>IF(COUNTA(A83:G83)=0,"",IF(L83&gt;=2,"完成","再觀察"))</f>
        <v/>
      </c>
    </row>
    <row r="84">
      <c r="A84" s="10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2" t="n"/>
      <c r="K84" s="12" t="n"/>
      <c r="L84" s="13">
        <f>COUNTIF(E84:G84,"有")+IF(H84&gt;=6,1,0)+IF(I84&gt;0,1,0)</f>
        <v/>
      </c>
      <c r="M84" s="11" t="n"/>
      <c r="N84" s="13">
        <f>IF(COUNTA(A84:G84)=0,"",IF(L84&gt;=2,"完成","再觀察"))</f>
        <v/>
      </c>
    </row>
    <row r="85">
      <c r="A85" s="10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2" t="n"/>
      <c r="K85" s="12" t="n"/>
      <c r="L85" s="13">
        <f>COUNTIF(E85:G85,"有")+IF(H85&gt;=6,1,0)+IF(I85&gt;0,1,0)</f>
        <v/>
      </c>
      <c r="M85" s="11" t="n"/>
      <c r="N85" s="13">
        <f>IF(COUNTA(A85:G85)=0,"",IF(L85&gt;=2,"完成","再觀察"))</f>
        <v/>
      </c>
    </row>
    <row r="86">
      <c r="A86" s="10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2" t="n"/>
      <c r="K86" s="12" t="n"/>
      <c r="L86" s="13">
        <f>COUNTIF(E86:G86,"有")+IF(H86&gt;=6,1,0)+IF(I86&gt;0,1,0)</f>
        <v/>
      </c>
      <c r="M86" s="11" t="n"/>
      <c r="N86" s="13">
        <f>IF(COUNTA(A86:G86)=0,"",IF(L86&gt;=2,"完成","再觀察"))</f>
        <v/>
      </c>
    </row>
    <row r="87">
      <c r="A87" s="10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2" t="n"/>
      <c r="K87" s="12" t="n"/>
      <c r="L87" s="13">
        <f>COUNTIF(E87:G87,"有")+IF(H87&gt;=6,1,0)+IF(I87&gt;0,1,0)</f>
        <v/>
      </c>
      <c r="M87" s="11" t="n"/>
      <c r="N87" s="13">
        <f>IF(COUNTA(A87:G87)=0,"",IF(L87&gt;=2,"完成","再觀察"))</f>
        <v/>
      </c>
    </row>
    <row r="88">
      <c r="A88" s="10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2" t="n"/>
      <c r="K88" s="12" t="n"/>
      <c r="L88" s="13">
        <f>COUNTIF(E88:G88,"有")+IF(H88&gt;=6,1,0)+IF(I88&gt;0,1,0)</f>
        <v/>
      </c>
      <c r="M88" s="11" t="n"/>
      <c r="N88" s="13">
        <f>IF(COUNTA(A88:G88)=0,"",IF(L88&gt;=2,"完成","再觀察"))</f>
        <v/>
      </c>
    </row>
    <row r="89">
      <c r="A89" s="10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2" t="n"/>
      <c r="K89" s="12" t="n"/>
      <c r="L89" s="13">
        <f>COUNTIF(E89:G89,"有")+IF(H89&gt;=6,1,0)+IF(I89&gt;0,1,0)</f>
        <v/>
      </c>
      <c r="M89" s="11" t="n"/>
      <c r="N89" s="13">
        <f>IF(COUNTA(A89:G89)=0,"",IF(L89&gt;=2,"完成","再觀察"))</f>
        <v/>
      </c>
    </row>
    <row r="90">
      <c r="A90" s="10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2" t="n"/>
      <c r="K90" s="12" t="n"/>
      <c r="L90" s="13">
        <f>COUNTIF(E90:G90,"有")+IF(H90&gt;=6,1,0)+IF(I90&gt;0,1,0)</f>
        <v/>
      </c>
      <c r="M90" s="11" t="n"/>
      <c r="N90" s="13">
        <f>IF(COUNTA(A90:G90)=0,"",IF(L90&gt;=2,"完成","再觀察"))</f>
        <v/>
      </c>
    </row>
    <row r="91">
      <c r="A91" s="10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2" t="n"/>
      <c r="K91" s="12" t="n"/>
      <c r="L91" s="13">
        <f>COUNTIF(E91:G91,"有")+IF(H91&gt;=6,1,0)+IF(I91&gt;0,1,0)</f>
        <v/>
      </c>
      <c r="M91" s="11" t="n"/>
      <c r="N91" s="13">
        <f>IF(COUNTA(A91:G91)=0,"",IF(L91&gt;=2,"完成","再觀察"))</f>
        <v/>
      </c>
    </row>
    <row r="92">
      <c r="A92" s="10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2" t="n"/>
      <c r="K92" s="12" t="n"/>
      <c r="L92" s="13">
        <f>COUNTIF(E92:G92,"有")+IF(H92&gt;=6,1,0)+IF(I92&gt;0,1,0)</f>
        <v/>
      </c>
      <c r="M92" s="11" t="n"/>
      <c r="N92" s="13">
        <f>IF(COUNTA(A92:G92)=0,"",IF(L92&gt;=2,"完成","再觀察"))</f>
        <v/>
      </c>
    </row>
    <row r="93">
      <c r="A93" s="10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2" t="n"/>
      <c r="K93" s="12" t="n"/>
      <c r="L93" s="13">
        <f>COUNTIF(E93:G93,"有")+IF(H93&gt;=6,1,0)+IF(I93&gt;0,1,0)</f>
        <v/>
      </c>
      <c r="M93" s="11" t="n"/>
      <c r="N93" s="13">
        <f>IF(COUNTA(A93:G93)=0,"",IF(L93&gt;=2,"完成","再觀察"))</f>
        <v/>
      </c>
    </row>
    <row r="94">
      <c r="A94" s="10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2" t="n"/>
      <c r="K94" s="12" t="n"/>
      <c r="L94" s="13">
        <f>COUNTIF(E94:G94,"有")+IF(H94&gt;=6,1,0)+IF(I94&gt;0,1,0)</f>
        <v/>
      </c>
      <c r="M94" s="11" t="n"/>
      <c r="N94" s="13">
        <f>IF(COUNTA(A94:G94)=0,"",IF(L94&gt;=2,"完成","再觀察"))</f>
        <v/>
      </c>
    </row>
    <row r="95">
      <c r="A95" s="10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2" t="n"/>
      <c r="K95" s="12" t="n"/>
      <c r="L95" s="13">
        <f>COUNTIF(E95:G95,"有")+IF(H95&gt;=6,1,0)+IF(I95&gt;0,1,0)</f>
        <v/>
      </c>
      <c r="M95" s="11" t="n"/>
      <c r="N95" s="13">
        <f>IF(COUNTA(A95:G95)=0,"",IF(L95&gt;=2,"完成","再觀察"))</f>
        <v/>
      </c>
    </row>
    <row r="96">
      <c r="A96" s="10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2" t="n"/>
      <c r="K96" s="12" t="n"/>
      <c r="L96" s="13">
        <f>COUNTIF(E96:G96,"有")+IF(H96&gt;=6,1,0)+IF(I96&gt;0,1,0)</f>
        <v/>
      </c>
      <c r="M96" s="11" t="n"/>
      <c r="N96" s="13">
        <f>IF(COUNTA(A96:G96)=0,"",IF(L96&gt;=2,"完成","再觀察"))</f>
        <v/>
      </c>
    </row>
    <row r="97">
      <c r="A97" s="10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2" t="n"/>
      <c r="K97" s="12" t="n"/>
      <c r="L97" s="13">
        <f>COUNTIF(E97:G97,"有")+IF(H97&gt;=6,1,0)+IF(I97&gt;0,1,0)</f>
        <v/>
      </c>
      <c r="M97" s="11" t="n"/>
      <c r="N97" s="13">
        <f>IF(COUNTA(A97:G97)=0,"",IF(L97&gt;=2,"完成","再觀察"))</f>
        <v/>
      </c>
    </row>
    <row r="98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2" t="n"/>
      <c r="K98" s="12" t="n"/>
      <c r="L98" s="13">
        <f>COUNTIF(E98:G98,"有")+IF(H98&gt;=6,1,0)+IF(I98&gt;0,1,0)</f>
        <v/>
      </c>
      <c r="M98" s="11" t="n"/>
      <c r="N98" s="13">
        <f>IF(COUNTA(A98:G98)=0,"",IF(L98&gt;=2,"完成","再觀察"))</f>
        <v/>
      </c>
    </row>
    <row r="99">
      <c r="A99" s="10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2" t="n"/>
      <c r="K99" s="12" t="n"/>
      <c r="L99" s="13">
        <f>COUNTIF(E99:G99,"有")+IF(H99&gt;=6,1,0)+IF(I99&gt;0,1,0)</f>
        <v/>
      </c>
      <c r="M99" s="11" t="n"/>
      <c r="N99" s="13">
        <f>IF(COUNTA(A99:G99)=0,"",IF(L99&gt;=2,"完成","再觀察"))</f>
        <v/>
      </c>
    </row>
    <row r="100">
      <c r="A100" s="10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2" t="n"/>
      <c r="K100" s="12" t="n"/>
      <c r="L100" s="13">
        <f>COUNTIF(E100:G100,"有")+IF(H100&gt;=6,1,0)+IF(I100&gt;0,1,0)</f>
        <v/>
      </c>
      <c r="M100" s="11" t="n"/>
      <c r="N100" s="13">
        <f>IF(COUNTA(A100:G100)=0,"",IF(L100&gt;=2,"完成","再觀察"))</f>
        <v/>
      </c>
    </row>
    <row r="101">
      <c r="A101" s="10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2" t="n"/>
      <c r="K101" s="12" t="n"/>
      <c r="L101" s="13">
        <f>COUNTIF(E101:G101,"有")+IF(H101&gt;=6,1,0)+IF(I101&gt;0,1,0)</f>
        <v/>
      </c>
      <c r="M101" s="11" t="n"/>
      <c r="N101" s="13">
        <f>IF(COUNTA(A101:G101)=0,"",IF(L101&gt;=2,"完成","再觀察"))</f>
        <v/>
      </c>
    </row>
    <row r="102">
      <c r="A102" s="10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2" t="n"/>
      <c r="K102" s="12" t="n"/>
      <c r="L102" s="13">
        <f>COUNTIF(E102:G102,"有")+IF(H102&gt;=6,1,0)+IF(I102&gt;0,1,0)</f>
        <v/>
      </c>
      <c r="M102" s="11" t="n"/>
      <c r="N102" s="13">
        <f>IF(COUNTA(A102:G102)=0,"",IF(L102&gt;=2,"完成","再觀察"))</f>
        <v/>
      </c>
    </row>
    <row r="103">
      <c r="A103" s="10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2" t="n"/>
      <c r="K103" s="12" t="n"/>
      <c r="L103" s="13">
        <f>COUNTIF(E103:G103,"有")+IF(H103&gt;=6,1,0)+IF(I103&gt;0,1,0)</f>
        <v/>
      </c>
      <c r="M103" s="11" t="n"/>
      <c r="N103" s="13">
        <f>IF(COUNTA(A103:G103)=0,"",IF(L103&gt;=2,"完成","再觀察"))</f>
        <v/>
      </c>
    </row>
    <row r="104">
      <c r="A104" s="10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2" t="n"/>
      <c r="K104" s="12" t="n"/>
      <c r="L104" s="13">
        <f>COUNTIF(E104:G104,"有")+IF(H104&gt;=6,1,0)+IF(I104&gt;0,1,0)</f>
        <v/>
      </c>
      <c r="M104" s="11" t="n"/>
      <c r="N104" s="13">
        <f>IF(COUNTA(A104:G104)=0,"",IF(L104&gt;=2,"完成","再觀察"))</f>
        <v/>
      </c>
    </row>
    <row r="105">
      <c r="A105" s="10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2" t="n"/>
      <c r="K105" s="12" t="n"/>
      <c r="L105" s="13">
        <f>COUNTIF(E105:G105,"有")+IF(H105&gt;=6,1,0)+IF(I105&gt;0,1,0)</f>
        <v/>
      </c>
      <c r="M105" s="11" t="n"/>
      <c r="N105" s="13">
        <f>IF(COUNTA(A105:G105)=0,"",IF(L105&gt;=2,"完成","再觀察"))</f>
        <v/>
      </c>
    </row>
    <row r="106">
      <c r="A106" s="10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2" t="n"/>
      <c r="K106" s="12" t="n"/>
      <c r="L106" s="13">
        <f>COUNTIF(E106:G106,"有")+IF(H106&gt;=6,1,0)+IF(I106&gt;0,1,0)</f>
        <v/>
      </c>
      <c r="M106" s="11" t="n"/>
      <c r="N106" s="13">
        <f>IF(COUNTA(A106:G106)=0,"",IF(L106&gt;=2,"完成","再觀察"))</f>
        <v/>
      </c>
    </row>
    <row r="107">
      <c r="A107" s="10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2" t="n"/>
      <c r="K107" s="12" t="n"/>
      <c r="L107" s="13">
        <f>COUNTIF(E107:G107,"有")+IF(H107&gt;=6,1,0)+IF(I107&gt;0,1,0)</f>
        <v/>
      </c>
      <c r="M107" s="11" t="n"/>
      <c r="N107" s="13">
        <f>IF(COUNTA(A107:G107)=0,"",IF(L107&gt;=2,"完成","再觀察"))</f>
        <v/>
      </c>
    </row>
    <row r="108">
      <c r="A108" s="10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2" t="n"/>
      <c r="K108" s="12" t="n"/>
      <c r="L108" s="13">
        <f>COUNTIF(E108:G108,"有")+IF(H108&gt;=6,1,0)+IF(I108&gt;0,1,0)</f>
        <v/>
      </c>
      <c r="M108" s="11" t="n"/>
      <c r="N108" s="13">
        <f>IF(COUNTA(A108:G108)=0,"",IF(L108&gt;=2,"完成","再觀察"))</f>
        <v/>
      </c>
    </row>
    <row r="109">
      <c r="A109" s="10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2" t="n"/>
      <c r="K109" s="12" t="n"/>
      <c r="L109" s="13">
        <f>COUNTIF(E109:G109,"有")+IF(H109&gt;=6,1,0)+IF(I109&gt;0,1,0)</f>
        <v/>
      </c>
      <c r="M109" s="11" t="n"/>
      <c r="N109" s="13">
        <f>IF(COUNTA(A109:G109)=0,"",IF(L109&gt;=2,"完成","再觀察"))</f>
        <v/>
      </c>
    </row>
    <row r="110">
      <c r="A110" s="10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2" t="n"/>
      <c r="K110" s="12" t="n"/>
      <c r="L110" s="13">
        <f>COUNTIF(E110:G110,"有")+IF(H110&gt;=6,1,0)+IF(I110&gt;0,1,0)</f>
        <v/>
      </c>
      <c r="M110" s="11" t="n"/>
      <c r="N110" s="13">
        <f>IF(COUNTA(A110:G110)=0,"",IF(L110&gt;=2,"完成","再觀察"))</f>
        <v/>
      </c>
    </row>
    <row r="111">
      <c r="A111" s="10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2" t="n"/>
      <c r="K111" s="12" t="n"/>
      <c r="L111" s="13">
        <f>COUNTIF(E111:G111,"有")+IF(H111&gt;=6,1,0)+IF(I111&gt;0,1,0)</f>
        <v/>
      </c>
      <c r="M111" s="11" t="n"/>
      <c r="N111" s="13">
        <f>IF(COUNTA(A111:G111)=0,"",IF(L111&gt;=2,"完成","再觀察"))</f>
        <v/>
      </c>
    </row>
    <row r="112">
      <c r="A112" s="10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2" t="n"/>
      <c r="K112" s="12" t="n"/>
      <c r="L112" s="13">
        <f>COUNTIF(E112:G112,"有")+IF(H112&gt;=6,1,0)+IF(I112&gt;0,1,0)</f>
        <v/>
      </c>
      <c r="M112" s="11" t="n"/>
      <c r="N112" s="13">
        <f>IF(COUNTA(A112:G112)=0,"",IF(L112&gt;=2,"完成","再觀察"))</f>
        <v/>
      </c>
    </row>
    <row r="113">
      <c r="A113" s="10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2" t="n"/>
      <c r="K113" s="12" t="n"/>
      <c r="L113" s="13">
        <f>COUNTIF(E113:G113,"有")+IF(H113&gt;=6,1,0)+IF(I113&gt;0,1,0)</f>
        <v/>
      </c>
      <c r="M113" s="11" t="n"/>
      <c r="N113" s="13">
        <f>IF(COUNTA(A113:G113)=0,"",IF(L113&gt;=2,"完成","再觀察"))</f>
        <v/>
      </c>
    </row>
    <row r="114">
      <c r="A114" s="10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2" t="n"/>
      <c r="K114" s="12" t="n"/>
      <c r="L114" s="13">
        <f>COUNTIF(E114:G114,"有")+IF(H114&gt;=6,1,0)+IF(I114&gt;0,1,0)</f>
        <v/>
      </c>
      <c r="M114" s="11" t="n"/>
      <c r="N114" s="13">
        <f>IF(COUNTA(A114:G114)=0,"",IF(L114&gt;=2,"完成","再觀察"))</f>
        <v/>
      </c>
    </row>
    <row r="115">
      <c r="A115" s="10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2" t="n"/>
      <c r="K115" s="12" t="n"/>
      <c r="L115" s="13">
        <f>COUNTIF(E115:G115,"有")+IF(H115&gt;=6,1,0)+IF(I115&gt;0,1,0)</f>
        <v/>
      </c>
      <c r="M115" s="11" t="n"/>
      <c r="N115" s="13">
        <f>IF(COUNTA(A115:G115)=0,"",IF(L115&gt;=2,"完成","再觀察"))</f>
        <v/>
      </c>
    </row>
    <row r="116">
      <c r="A116" s="10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2" t="n"/>
      <c r="K116" s="12" t="n"/>
      <c r="L116" s="13">
        <f>COUNTIF(E116:G116,"有")+IF(H116&gt;=6,1,0)+IF(I116&gt;0,1,0)</f>
        <v/>
      </c>
      <c r="M116" s="11" t="n"/>
      <c r="N116" s="13">
        <f>IF(COUNTA(A116:G116)=0,"",IF(L116&gt;=2,"完成","再觀察"))</f>
        <v/>
      </c>
    </row>
    <row r="117">
      <c r="A117" s="10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2" t="n"/>
      <c r="K117" s="12" t="n"/>
      <c r="L117" s="13">
        <f>COUNTIF(E117:G117,"有")+IF(H117&gt;=6,1,0)+IF(I117&gt;0,1,0)</f>
        <v/>
      </c>
      <c r="M117" s="11" t="n"/>
      <c r="N117" s="13">
        <f>IF(COUNTA(A117:G117)=0,"",IF(L117&gt;=2,"完成","再觀察"))</f>
        <v/>
      </c>
    </row>
    <row r="118">
      <c r="A118" s="10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2" t="n"/>
      <c r="K118" s="12" t="n"/>
      <c r="L118" s="13">
        <f>COUNTIF(E118:G118,"有")+IF(H118&gt;=6,1,0)+IF(I118&gt;0,1,0)</f>
        <v/>
      </c>
      <c r="M118" s="11" t="n"/>
      <c r="N118" s="13">
        <f>IF(COUNTA(A118:G118)=0,"",IF(L118&gt;=2,"完成","再觀察"))</f>
        <v/>
      </c>
    </row>
    <row r="119">
      <c r="A119" s="10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2" t="n"/>
      <c r="K119" s="12" t="n"/>
      <c r="L119" s="13">
        <f>COUNTIF(E119:G119,"有")+IF(H119&gt;=6,1,0)+IF(I119&gt;0,1,0)</f>
        <v/>
      </c>
      <c r="M119" s="11" t="n"/>
      <c r="N119" s="13">
        <f>IF(COUNTA(A119:G119)=0,"",IF(L119&gt;=2,"完成","再觀察"))</f>
        <v/>
      </c>
    </row>
    <row r="120">
      <c r="A120" s="10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2" t="n"/>
      <c r="K120" s="12" t="n"/>
      <c r="L120" s="13">
        <f>COUNTIF(E120:G120,"有")+IF(H120&gt;=6,1,0)+IF(I120&gt;0,1,0)</f>
        <v/>
      </c>
      <c r="M120" s="11" t="n"/>
      <c r="N120" s="13">
        <f>IF(COUNTA(A120:G120)=0,"",IF(L120&gt;=2,"完成","再觀察"))</f>
        <v/>
      </c>
    </row>
    <row r="121">
      <c r="A121" s="10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2" t="n"/>
      <c r="K121" s="12" t="n"/>
      <c r="L121" s="13">
        <f>COUNTIF(E121:G121,"有")+IF(H121&gt;=6,1,0)+IF(I121&gt;0,1,0)</f>
        <v/>
      </c>
      <c r="M121" s="11" t="n"/>
      <c r="N121" s="13">
        <f>IF(COUNTA(A121:G121)=0,"",IF(L121&gt;=2,"完成","再觀察"))</f>
        <v/>
      </c>
    </row>
    <row r="122">
      <c r="A122" s="10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2" t="n"/>
      <c r="K122" s="12" t="n"/>
      <c r="L122" s="13">
        <f>COUNTIF(E122:G122,"有")+IF(H122&gt;=6,1,0)+IF(I122&gt;0,1,0)</f>
        <v/>
      </c>
      <c r="M122" s="11" t="n"/>
      <c r="N122" s="13">
        <f>IF(COUNTA(A122:G122)=0,"",IF(L122&gt;=2,"完成","再觀察"))</f>
        <v/>
      </c>
    </row>
    <row r="123">
      <c r="A123" s="10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2" t="n"/>
      <c r="K123" s="12" t="n"/>
      <c r="L123" s="13">
        <f>COUNTIF(E123:G123,"有")+IF(H123&gt;=6,1,0)+IF(I123&gt;0,1,0)</f>
        <v/>
      </c>
      <c r="M123" s="11" t="n"/>
      <c r="N123" s="13">
        <f>IF(COUNTA(A123:G123)=0,"",IF(L123&gt;=2,"完成","再觀察"))</f>
        <v/>
      </c>
    </row>
    <row r="124">
      <c r="A124" s="10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2" t="n"/>
      <c r="K124" s="12" t="n"/>
      <c r="L124" s="13">
        <f>COUNTIF(E124:G124,"有")+IF(H124&gt;=6,1,0)+IF(I124&gt;0,1,0)</f>
        <v/>
      </c>
      <c r="M124" s="11" t="n"/>
      <c r="N124" s="13">
        <f>IF(COUNTA(A124:G124)=0,"",IF(L124&gt;=2,"完成","再觀察"))</f>
        <v/>
      </c>
    </row>
    <row r="125">
      <c r="A125" s="10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2" t="n"/>
      <c r="K125" s="12" t="n"/>
      <c r="L125" s="13">
        <f>COUNTIF(E125:G125,"有")+IF(H125&gt;=6,1,0)+IF(I125&gt;0,1,0)</f>
        <v/>
      </c>
      <c r="M125" s="11" t="n"/>
      <c r="N125" s="13">
        <f>IF(COUNTA(A125:G125)=0,"",IF(L125&gt;=2,"完成","再觀察"))</f>
        <v/>
      </c>
    </row>
    <row r="126">
      <c r="A126" s="10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2" t="n"/>
      <c r="K126" s="12" t="n"/>
      <c r="L126" s="13">
        <f>COUNTIF(E126:G126,"有")+IF(H126&gt;=6,1,0)+IF(I126&gt;0,1,0)</f>
        <v/>
      </c>
      <c r="M126" s="11" t="n"/>
      <c r="N126" s="13">
        <f>IF(COUNTA(A126:G126)=0,"",IF(L126&gt;=2,"完成","再觀察"))</f>
        <v/>
      </c>
    </row>
    <row r="127">
      <c r="A127" s="10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2" t="n"/>
      <c r="K127" s="12" t="n"/>
      <c r="L127" s="13">
        <f>COUNTIF(E127:G127,"有")+IF(H127&gt;=6,1,0)+IF(I127&gt;0,1,0)</f>
        <v/>
      </c>
      <c r="M127" s="11" t="n"/>
      <c r="N127" s="13">
        <f>IF(COUNTA(A127:G127)=0,"",IF(L127&gt;=2,"完成","再觀察"))</f>
        <v/>
      </c>
    </row>
    <row r="128">
      <c r="A128" s="10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2" t="n"/>
      <c r="K128" s="12" t="n"/>
      <c r="L128" s="13">
        <f>COUNTIF(E128:G128,"有")+IF(H128&gt;=6,1,0)+IF(I128&gt;0,1,0)</f>
        <v/>
      </c>
      <c r="M128" s="11" t="n"/>
      <c r="N128" s="13">
        <f>IF(COUNTA(A128:G128)=0,"",IF(L128&gt;=2,"完成","再觀察"))</f>
        <v/>
      </c>
    </row>
    <row r="129">
      <c r="A129" s="10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2" t="n"/>
      <c r="K129" s="12" t="n"/>
      <c r="L129" s="13">
        <f>COUNTIF(E129:G129,"有")+IF(H129&gt;=6,1,0)+IF(I129&gt;0,1,0)</f>
        <v/>
      </c>
      <c r="M129" s="11" t="n"/>
      <c r="N129" s="13">
        <f>IF(COUNTA(A129:G129)=0,"",IF(L129&gt;=2,"完成","再觀察"))</f>
        <v/>
      </c>
    </row>
    <row r="130">
      <c r="A130" s="10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2" t="n"/>
      <c r="K130" s="12" t="n"/>
      <c r="L130" s="13">
        <f>COUNTIF(E130:G130,"有")+IF(H130&gt;=6,1,0)+IF(I130&gt;0,1,0)</f>
        <v/>
      </c>
      <c r="M130" s="11" t="n"/>
      <c r="N130" s="13">
        <f>IF(COUNTA(A130:G130)=0,"",IF(L130&gt;=2,"完成","再觀察"))</f>
        <v/>
      </c>
    </row>
    <row r="131">
      <c r="A131" s="10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2" t="n"/>
      <c r="K131" s="12" t="n"/>
      <c r="L131" s="13">
        <f>COUNTIF(E131:G131,"有")+IF(H131&gt;=6,1,0)+IF(I131&gt;0,1,0)</f>
        <v/>
      </c>
      <c r="M131" s="11" t="n"/>
      <c r="N131" s="13">
        <f>IF(COUNTA(A131:G131)=0,"",IF(L131&gt;=2,"完成","再觀察"))</f>
        <v/>
      </c>
    </row>
    <row r="132">
      <c r="A132" s="10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2" t="n"/>
      <c r="K132" s="12" t="n"/>
      <c r="L132" s="13">
        <f>COUNTIF(E132:G132,"有")+IF(H132&gt;=6,1,0)+IF(I132&gt;0,1,0)</f>
        <v/>
      </c>
      <c r="M132" s="11" t="n"/>
      <c r="N132" s="13">
        <f>IF(COUNTA(A132:G132)=0,"",IF(L132&gt;=2,"完成","再觀察"))</f>
        <v/>
      </c>
    </row>
    <row r="133">
      <c r="A133" s="10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2" t="n"/>
      <c r="K133" s="12" t="n"/>
      <c r="L133" s="13">
        <f>COUNTIF(E133:G133,"有")+IF(H133&gt;=6,1,0)+IF(I133&gt;0,1,0)</f>
        <v/>
      </c>
      <c r="M133" s="11" t="n"/>
      <c r="N133" s="13">
        <f>IF(COUNTA(A133:G133)=0,"",IF(L133&gt;=2,"完成","再觀察"))</f>
        <v/>
      </c>
    </row>
    <row r="134">
      <c r="A134" s="10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2" t="n"/>
      <c r="K134" s="12" t="n"/>
      <c r="L134" s="13">
        <f>COUNTIF(E134:G134,"有")+IF(H134&gt;=6,1,0)+IF(I134&gt;0,1,0)</f>
        <v/>
      </c>
      <c r="M134" s="11" t="n"/>
      <c r="N134" s="13">
        <f>IF(COUNTA(A134:G134)=0,"",IF(L134&gt;=2,"完成","再觀察"))</f>
        <v/>
      </c>
    </row>
    <row r="135">
      <c r="A135" s="10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2" t="n"/>
      <c r="K135" s="12" t="n"/>
      <c r="L135" s="13">
        <f>COUNTIF(E135:G135,"有")+IF(H135&gt;=6,1,0)+IF(I135&gt;0,1,0)</f>
        <v/>
      </c>
      <c r="M135" s="11" t="n"/>
      <c r="N135" s="13">
        <f>IF(COUNTA(A135:G135)=0,"",IF(L135&gt;=2,"完成","再觀察"))</f>
        <v/>
      </c>
    </row>
    <row r="136">
      <c r="A136" s="10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2" t="n"/>
      <c r="K136" s="12" t="n"/>
      <c r="L136" s="13">
        <f>COUNTIF(E136:G136,"有")+IF(H136&gt;=6,1,0)+IF(I136&gt;0,1,0)</f>
        <v/>
      </c>
      <c r="M136" s="11" t="n"/>
      <c r="N136" s="13">
        <f>IF(COUNTA(A136:G136)=0,"",IF(L136&gt;=2,"完成","再觀察"))</f>
        <v/>
      </c>
    </row>
    <row r="137">
      <c r="A137" s="10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2" t="n"/>
      <c r="K137" s="12" t="n"/>
      <c r="L137" s="13">
        <f>COUNTIF(E137:G137,"有")+IF(H137&gt;=6,1,0)+IF(I137&gt;0,1,0)</f>
        <v/>
      </c>
      <c r="M137" s="11" t="n"/>
      <c r="N137" s="13">
        <f>IF(COUNTA(A137:G137)=0,"",IF(L137&gt;=2,"完成","再觀察"))</f>
        <v/>
      </c>
    </row>
    <row r="138">
      <c r="A138" s="10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2" t="n"/>
      <c r="K138" s="12" t="n"/>
      <c r="L138" s="13">
        <f>COUNTIF(E138:G138,"有")+IF(H138&gt;=6,1,0)+IF(I138&gt;0,1,0)</f>
        <v/>
      </c>
      <c r="M138" s="11" t="n"/>
      <c r="N138" s="13">
        <f>IF(COUNTA(A138:G138)=0,"",IF(L138&gt;=2,"完成","再觀察"))</f>
        <v/>
      </c>
    </row>
    <row r="139">
      <c r="A139" s="10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2" t="n"/>
      <c r="K139" s="12" t="n"/>
      <c r="L139" s="13">
        <f>COUNTIF(E139:G139,"有")+IF(H139&gt;=6,1,0)+IF(I139&gt;0,1,0)</f>
        <v/>
      </c>
      <c r="M139" s="11" t="n"/>
      <c r="N139" s="13">
        <f>IF(COUNTA(A139:G139)=0,"",IF(L139&gt;=2,"完成","再觀察"))</f>
        <v/>
      </c>
    </row>
    <row r="140">
      <c r="A140" s="10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2" t="n"/>
      <c r="K140" s="12" t="n"/>
      <c r="L140" s="13">
        <f>COUNTIF(E140:G140,"有")+IF(H140&gt;=6,1,0)+IF(I140&gt;0,1,0)</f>
        <v/>
      </c>
      <c r="M140" s="11" t="n"/>
      <c r="N140" s="13">
        <f>IF(COUNTA(A140:G140)=0,"",IF(L140&gt;=2,"完成","再觀察"))</f>
        <v/>
      </c>
    </row>
    <row r="141">
      <c r="A141" s="10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2" t="n"/>
      <c r="K141" s="12" t="n"/>
      <c r="L141" s="13">
        <f>COUNTIF(E141:G141,"有")+IF(H141&gt;=6,1,0)+IF(I141&gt;0,1,0)</f>
        <v/>
      </c>
      <c r="M141" s="11" t="n"/>
      <c r="N141" s="13">
        <f>IF(COUNTA(A141:G141)=0,"",IF(L141&gt;=2,"完成","再觀察"))</f>
        <v/>
      </c>
    </row>
    <row r="142">
      <c r="A142" s="10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2" t="n"/>
      <c r="K142" s="12" t="n"/>
      <c r="L142" s="13">
        <f>COUNTIF(E142:G142,"有")+IF(H142&gt;=6,1,0)+IF(I142&gt;0,1,0)</f>
        <v/>
      </c>
      <c r="M142" s="11" t="n"/>
      <c r="N142" s="13">
        <f>IF(COUNTA(A142:G142)=0,"",IF(L142&gt;=2,"完成","再觀察"))</f>
        <v/>
      </c>
    </row>
    <row r="143">
      <c r="A143" s="10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2" t="n"/>
      <c r="K143" s="12" t="n"/>
      <c r="L143" s="13">
        <f>COUNTIF(E143:G143,"有")+IF(H143&gt;=6,1,0)+IF(I143&gt;0,1,0)</f>
        <v/>
      </c>
      <c r="M143" s="11" t="n"/>
      <c r="N143" s="13">
        <f>IF(COUNTA(A143:G143)=0,"",IF(L143&gt;=2,"完成","再觀察"))</f>
        <v/>
      </c>
    </row>
    <row r="144">
      <c r="A144" s="10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2" t="n"/>
      <c r="K144" s="12" t="n"/>
      <c r="L144" s="13">
        <f>COUNTIF(E144:G144,"有")+IF(H144&gt;=6,1,0)+IF(I144&gt;0,1,0)</f>
        <v/>
      </c>
      <c r="M144" s="11" t="n"/>
      <c r="N144" s="13">
        <f>IF(COUNTA(A144:G144)=0,"",IF(L144&gt;=2,"完成","再觀察"))</f>
        <v/>
      </c>
    </row>
    <row r="145">
      <c r="A145" s="10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2" t="n"/>
      <c r="K145" s="12" t="n"/>
      <c r="L145" s="13">
        <f>COUNTIF(E145:G145,"有")+IF(H145&gt;=6,1,0)+IF(I145&gt;0,1,0)</f>
        <v/>
      </c>
      <c r="M145" s="11" t="n"/>
      <c r="N145" s="13">
        <f>IF(COUNTA(A145:G145)=0,"",IF(L145&gt;=2,"完成","再觀察"))</f>
        <v/>
      </c>
    </row>
    <row r="146">
      <c r="A146" s="10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2" t="n"/>
      <c r="K146" s="12" t="n"/>
      <c r="L146" s="13">
        <f>COUNTIF(E146:G146,"有")+IF(H146&gt;=6,1,0)+IF(I146&gt;0,1,0)</f>
        <v/>
      </c>
      <c r="M146" s="11" t="n"/>
      <c r="N146" s="13">
        <f>IF(COUNTA(A146:G146)=0,"",IF(L146&gt;=2,"完成","再觀察"))</f>
        <v/>
      </c>
    </row>
    <row r="147">
      <c r="A147" s="10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2" t="n"/>
      <c r="K147" s="12" t="n"/>
      <c r="L147" s="13">
        <f>COUNTIF(E147:G147,"有")+IF(H147&gt;=6,1,0)+IF(I147&gt;0,1,0)</f>
        <v/>
      </c>
      <c r="M147" s="11" t="n"/>
      <c r="N147" s="13">
        <f>IF(COUNTA(A147:G147)=0,"",IF(L147&gt;=2,"完成","再觀察"))</f>
        <v/>
      </c>
    </row>
    <row r="148">
      <c r="A148" s="10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2" t="n"/>
      <c r="K148" s="12" t="n"/>
      <c r="L148" s="13">
        <f>COUNTIF(E148:G148,"有")+IF(H148&gt;=6,1,0)+IF(I148&gt;0,1,0)</f>
        <v/>
      </c>
      <c r="M148" s="11" t="n"/>
      <c r="N148" s="13">
        <f>IF(COUNTA(A148:G148)=0,"",IF(L148&gt;=2,"完成","再觀察"))</f>
        <v/>
      </c>
    </row>
    <row r="149">
      <c r="A149" s="10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2" t="n"/>
      <c r="K149" s="12" t="n"/>
      <c r="L149" s="13">
        <f>COUNTIF(E149:G149,"有")+IF(H149&gt;=6,1,0)+IF(I149&gt;0,1,0)</f>
        <v/>
      </c>
      <c r="M149" s="11" t="n"/>
      <c r="N149" s="13">
        <f>IF(COUNTA(A149:G149)=0,"",IF(L149&gt;=2,"完成","再觀察"))</f>
        <v/>
      </c>
    </row>
    <row r="150">
      <c r="A150" s="10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2" t="n"/>
      <c r="K150" s="12" t="n"/>
      <c r="L150" s="13">
        <f>COUNTIF(E150:G150,"有")+IF(H150&gt;=6,1,0)+IF(I150&gt;0,1,0)</f>
        <v/>
      </c>
      <c r="M150" s="11" t="n"/>
      <c r="N150" s="13">
        <f>IF(COUNTA(A150:G150)=0,"",IF(L150&gt;=2,"完成","再觀察"))</f>
        <v/>
      </c>
    </row>
    <row r="151">
      <c r="A151" s="10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2" t="n"/>
      <c r="K151" s="12" t="n"/>
      <c r="L151" s="13">
        <f>COUNTIF(E151:G151,"有")+IF(H151&gt;=6,1,0)+IF(I151&gt;0,1,0)</f>
        <v/>
      </c>
      <c r="M151" s="11" t="n"/>
      <c r="N151" s="13">
        <f>IF(COUNTA(A151:G151)=0,"",IF(L151&gt;=2,"完成","再觀察"))</f>
        <v/>
      </c>
    </row>
    <row r="152">
      <c r="A152" s="10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2" t="n"/>
      <c r="K152" s="12" t="n"/>
      <c r="L152" s="13">
        <f>COUNTIF(E152:G152,"有")+IF(H152&gt;=6,1,0)+IF(I152&gt;0,1,0)</f>
        <v/>
      </c>
      <c r="M152" s="11" t="n"/>
      <c r="N152" s="13">
        <f>IF(COUNTA(A152:G152)=0,"",IF(L152&gt;=2,"完成","再觀察"))</f>
        <v/>
      </c>
    </row>
    <row r="153">
      <c r="A153" s="10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2" t="n"/>
      <c r="K153" s="12" t="n"/>
      <c r="L153" s="13">
        <f>COUNTIF(E153:G153,"有")+IF(H153&gt;=6,1,0)+IF(I153&gt;0,1,0)</f>
        <v/>
      </c>
      <c r="M153" s="11" t="n"/>
      <c r="N153" s="13">
        <f>IF(COUNTA(A153:G153)=0,"",IF(L153&gt;=2,"完成","再觀察"))</f>
        <v/>
      </c>
    </row>
    <row r="154">
      <c r="A154" s="10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2" t="n"/>
      <c r="K154" s="12" t="n"/>
      <c r="L154" s="13">
        <f>COUNTIF(E154:G154,"有")+IF(H154&gt;=6,1,0)+IF(I154&gt;0,1,0)</f>
        <v/>
      </c>
      <c r="M154" s="11" t="n"/>
      <c r="N154" s="13">
        <f>IF(COUNTA(A154:G154)=0,"",IF(L154&gt;=2,"完成","再觀察"))</f>
        <v/>
      </c>
    </row>
    <row r="155">
      <c r="A155" s="10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2" t="n"/>
      <c r="K155" s="12" t="n"/>
      <c r="L155" s="13">
        <f>COUNTIF(E155:G155,"有")+IF(H155&gt;=6,1,0)+IF(I155&gt;0,1,0)</f>
        <v/>
      </c>
      <c r="M155" s="11" t="n"/>
      <c r="N155" s="13">
        <f>IF(COUNTA(A155:G155)=0,"",IF(L155&gt;=2,"完成","再觀察"))</f>
        <v/>
      </c>
    </row>
    <row r="156">
      <c r="A156" s="10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2" t="n"/>
      <c r="K156" s="12" t="n"/>
      <c r="L156" s="13">
        <f>COUNTIF(E156:G156,"有")+IF(H156&gt;=6,1,0)+IF(I156&gt;0,1,0)</f>
        <v/>
      </c>
      <c r="M156" s="11" t="n"/>
      <c r="N156" s="13">
        <f>IF(COUNTA(A156:G156)=0,"",IF(L156&gt;=2,"完成","再觀察"))</f>
        <v/>
      </c>
    </row>
    <row r="157">
      <c r="A157" s="10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2" t="n"/>
      <c r="K157" s="12" t="n"/>
      <c r="L157" s="13">
        <f>COUNTIF(E157:G157,"有")+IF(H157&gt;=6,1,0)+IF(I157&gt;0,1,0)</f>
        <v/>
      </c>
      <c r="M157" s="11" t="n"/>
      <c r="N157" s="13">
        <f>IF(COUNTA(A157:G157)=0,"",IF(L157&gt;=2,"完成","再觀察"))</f>
        <v/>
      </c>
    </row>
    <row r="158">
      <c r="A158" s="10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2" t="n"/>
      <c r="K158" s="12" t="n"/>
      <c r="L158" s="13">
        <f>COUNTIF(E158:G158,"有")+IF(H158&gt;=6,1,0)+IF(I158&gt;0,1,0)</f>
        <v/>
      </c>
      <c r="M158" s="11" t="n"/>
      <c r="N158" s="13">
        <f>IF(COUNTA(A158:G158)=0,"",IF(L158&gt;=2,"完成","再觀察"))</f>
        <v/>
      </c>
    </row>
    <row r="159">
      <c r="A159" s="10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2" t="n"/>
      <c r="K159" s="12" t="n"/>
      <c r="L159" s="13">
        <f>COUNTIF(E159:G159,"有")+IF(H159&gt;=6,1,0)+IF(I159&gt;0,1,0)</f>
        <v/>
      </c>
      <c r="M159" s="11" t="n"/>
      <c r="N159" s="13">
        <f>IF(COUNTA(A159:G159)=0,"",IF(L159&gt;=2,"完成","再觀察"))</f>
        <v/>
      </c>
    </row>
    <row r="160">
      <c r="A160" s="10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2" t="n"/>
      <c r="K160" s="12" t="n"/>
      <c r="L160" s="13">
        <f>COUNTIF(E160:G160,"有")+IF(H160&gt;=6,1,0)+IF(I160&gt;0,1,0)</f>
        <v/>
      </c>
      <c r="M160" s="11" t="n"/>
      <c r="N160" s="13">
        <f>IF(COUNTA(A160:G160)=0,"",IF(L160&gt;=2,"完成","再觀察"))</f>
        <v/>
      </c>
    </row>
    <row r="161">
      <c r="A161" s="10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2" t="n"/>
      <c r="K161" s="12" t="n"/>
      <c r="L161" s="13">
        <f>COUNTIF(E161:G161,"有")+IF(H161&gt;=6,1,0)+IF(I161&gt;0,1,0)</f>
        <v/>
      </c>
      <c r="M161" s="11" t="n"/>
      <c r="N161" s="13">
        <f>IF(COUNTA(A161:G161)=0,"",IF(L161&gt;=2,"完成","再觀察"))</f>
        <v/>
      </c>
    </row>
    <row r="162">
      <c r="A162" s="10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2" t="n"/>
      <c r="K162" s="12" t="n"/>
      <c r="L162" s="13">
        <f>COUNTIF(E162:G162,"有")+IF(H162&gt;=6,1,0)+IF(I162&gt;0,1,0)</f>
        <v/>
      </c>
      <c r="M162" s="11" t="n"/>
      <c r="N162" s="13">
        <f>IF(COUNTA(A162:G162)=0,"",IF(L162&gt;=2,"完成","再觀察"))</f>
        <v/>
      </c>
    </row>
    <row r="163">
      <c r="A163" s="10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2" t="n"/>
      <c r="K163" s="12" t="n"/>
      <c r="L163" s="13">
        <f>COUNTIF(E163:G163,"有")+IF(H163&gt;=6,1,0)+IF(I163&gt;0,1,0)</f>
        <v/>
      </c>
      <c r="M163" s="11" t="n"/>
      <c r="N163" s="13">
        <f>IF(COUNTA(A163:G163)=0,"",IF(L163&gt;=2,"完成","再觀察"))</f>
        <v/>
      </c>
    </row>
    <row r="164">
      <c r="A164" s="10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2" t="n"/>
      <c r="K164" s="12" t="n"/>
      <c r="L164" s="13">
        <f>COUNTIF(E164:G164,"有")+IF(H164&gt;=6,1,0)+IF(I164&gt;0,1,0)</f>
        <v/>
      </c>
      <c r="M164" s="11" t="n"/>
      <c r="N164" s="13">
        <f>IF(COUNTA(A164:G164)=0,"",IF(L164&gt;=2,"完成","再觀察"))</f>
        <v/>
      </c>
    </row>
    <row r="165">
      <c r="A165" s="10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2" t="n"/>
      <c r="K165" s="12" t="n"/>
      <c r="L165" s="13">
        <f>COUNTIF(E165:G165,"有")+IF(H165&gt;=6,1,0)+IF(I165&gt;0,1,0)</f>
        <v/>
      </c>
      <c r="M165" s="11" t="n"/>
      <c r="N165" s="13">
        <f>IF(COUNTA(A165:G165)=0,"",IF(L165&gt;=2,"完成","再觀察"))</f>
        <v/>
      </c>
    </row>
    <row r="166">
      <c r="A166" s="10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2" t="n"/>
      <c r="K166" s="12" t="n"/>
      <c r="L166" s="13">
        <f>COUNTIF(E166:G166,"有")+IF(H166&gt;=6,1,0)+IF(I166&gt;0,1,0)</f>
        <v/>
      </c>
      <c r="M166" s="11" t="n"/>
      <c r="N166" s="13">
        <f>IF(COUNTA(A166:G166)=0,"",IF(L166&gt;=2,"完成","再觀察"))</f>
        <v/>
      </c>
    </row>
    <row r="167">
      <c r="A167" s="10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2" t="n"/>
      <c r="K167" s="12" t="n"/>
      <c r="L167" s="13">
        <f>COUNTIF(E167:G167,"有")+IF(H167&gt;=6,1,0)+IF(I167&gt;0,1,0)</f>
        <v/>
      </c>
      <c r="M167" s="11" t="n"/>
      <c r="N167" s="13">
        <f>IF(COUNTA(A167:G167)=0,"",IF(L167&gt;=2,"完成","再觀察"))</f>
        <v/>
      </c>
    </row>
    <row r="168">
      <c r="A168" s="10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2" t="n"/>
      <c r="K168" s="12" t="n"/>
      <c r="L168" s="13">
        <f>COUNTIF(E168:G168,"有")+IF(H168&gt;=6,1,0)+IF(I168&gt;0,1,0)</f>
        <v/>
      </c>
      <c r="M168" s="11" t="n"/>
      <c r="N168" s="13">
        <f>IF(COUNTA(A168:G168)=0,"",IF(L168&gt;=2,"完成","再觀察"))</f>
        <v/>
      </c>
    </row>
    <row r="169">
      <c r="A169" s="10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2" t="n"/>
      <c r="K169" s="12" t="n"/>
      <c r="L169" s="13">
        <f>COUNTIF(E169:G169,"有")+IF(H169&gt;=6,1,0)+IF(I169&gt;0,1,0)</f>
        <v/>
      </c>
      <c r="M169" s="11" t="n"/>
      <c r="N169" s="13">
        <f>IF(COUNTA(A169:G169)=0,"",IF(L169&gt;=2,"完成","再觀察"))</f>
        <v/>
      </c>
    </row>
    <row r="170">
      <c r="A170" s="10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2" t="n"/>
      <c r="K170" s="12" t="n"/>
      <c r="L170" s="13">
        <f>COUNTIF(E170:G170,"有")+IF(H170&gt;=6,1,0)+IF(I170&gt;0,1,0)</f>
        <v/>
      </c>
      <c r="M170" s="11" t="n"/>
      <c r="N170" s="13">
        <f>IF(COUNTA(A170:G170)=0,"",IF(L170&gt;=2,"完成","再觀察"))</f>
        <v/>
      </c>
    </row>
    <row r="171">
      <c r="A171" s="10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2" t="n"/>
      <c r="K171" s="12" t="n"/>
      <c r="L171" s="13">
        <f>COUNTIF(E171:G171,"有")+IF(H171&gt;=6,1,0)+IF(I171&gt;0,1,0)</f>
        <v/>
      </c>
      <c r="M171" s="11" t="n"/>
      <c r="N171" s="13">
        <f>IF(COUNTA(A171:G171)=0,"",IF(L171&gt;=2,"完成","再觀察"))</f>
        <v/>
      </c>
    </row>
    <row r="172">
      <c r="A172" s="10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2" t="n"/>
      <c r="K172" s="12" t="n"/>
      <c r="L172" s="13">
        <f>COUNTIF(E172:G172,"有")+IF(H172&gt;=6,1,0)+IF(I172&gt;0,1,0)</f>
        <v/>
      </c>
      <c r="M172" s="11" t="n"/>
      <c r="N172" s="13">
        <f>IF(COUNTA(A172:G172)=0,"",IF(L172&gt;=2,"完成","再觀察"))</f>
        <v/>
      </c>
    </row>
    <row r="173">
      <c r="A173" s="10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2" t="n"/>
      <c r="K173" s="12" t="n"/>
      <c r="L173" s="13">
        <f>COUNTIF(E173:G173,"有")+IF(H173&gt;=6,1,0)+IF(I173&gt;0,1,0)</f>
        <v/>
      </c>
      <c r="M173" s="11" t="n"/>
      <c r="N173" s="13">
        <f>IF(COUNTA(A173:G173)=0,"",IF(L173&gt;=2,"完成","再觀察"))</f>
        <v/>
      </c>
    </row>
    <row r="174">
      <c r="A174" s="10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2" t="n"/>
      <c r="K174" s="12" t="n"/>
      <c r="L174" s="13">
        <f>COUNTIF(E174:G174,"有")+IF(H174&gt;=6,1,0)+IF(I174&gt;0,1,0)</f>
        <v/>
      </c>
      <c r="M174" s="11" t="n"/>
      <c r="N174" s="13">
        <f>IF(COUNTA(A174:G174)=0,"",IF(L174&gt;=2,"完成","再觀察"))</f>
        <v/>
      </c>
    </row>
    <row r="175">
      <c r="A175" s="10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2" t="n"/>
      <c r="K175" s="12" t="n"/>
      <c r="L175" s="13">
        <f>COUNTIF(E175:G175,"有")+IF(H175&gt;=6,1,0)+IF(I175&gt;0,1,0)</f>
        <v/>
      </c>
      <c r="M175" s="11" t="n"/>
      <c r="N175" s="13">
        <f>IF(COUNTA(A175:G175)=0,"",IF(L175&gt;=2,"完成","再觀察"))</f>
        <v/>
      </c>
    </row>
    <row r="176">
      <c r="A176" s="10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2" t="n"/>
      <c r="K176" s="12" t="n"/>
      <c r="L176" s="13">
        <f>COUNTIF(E176:G176,"有")+IF(H176&gt;=6,1,0)+IF(I176&gt;0,1,0)</f>
        <v/>
      </c>
      <c r="M176" s="11" t="n"/>
      <c r="N176" s="13">
        <f>IF(COUNTA(A176:G176)=0,"",IF(L176&gt;=2,"完成","再觀察"))</f>
        <v/>
      </c>
    </row>
    <row r="177">
      <c r="A177" s="10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2" t="n"/>
      <c r="K177" s="12" t="n"/>
      <c r="L177" s="13">
        <f>COUNTIF(E177:G177,"有")+IF(H177&gt;=6,1,0)+IF(I177&gt;0,1,0)</f>
        <v/>
      </c>
      <c r="M177" s="11" t="n"/>
      <c r="N177" s="13">
        <f>IF(COUNTA(A177:G177)=0,"",IF(L177&gt;=2,"完成","再觀察"))</f>
        <v/>
      </c>
    </row>
    <row r="178">
      <c r="A178" s="10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2" t="n"/>
      <c r="K178" s="12" t="n"/>
      <c r="L178" s="13">
        <f>COUNTIF(E178:G178,"有")+IF(H178&gt;=6,1,0)+IF(I178&gt;0,1,0)</f>
        <v/>
      </c>
      <c r="M178" s="11" t="n"/>
      <c r="N178" s="13">
        <f>IF(COUNTA(A178:G178)=0,"",IF(L178&gt;=2,"完成","再觀察"))</f>
        <v/>
      </c>
    </row>
    <row r="179">
      <c r="A179" s="10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2" t="n"/>
      <c r="K179" s="12" t="n"/>
      <c r="L179" s="13">
        <f>COUNTIF(E179:G179,"有")+IF(H179&gt;=6,1,0)+IF(I179&gt;0,1,0)</f>
        <v/>
      </c>
      <c r="M179" s="11" t="n"/>
      <c r="N179" s="13">
        <f>IF(COUNTA(A179:G179)=0,"",IF(L179&gt;=2,"完成","再觀察"))</f>
        <v/>
      </c>
    </row>
    <row r="180">
      <c r="A180" s="10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2" t="n"/>
      <c r="K180" s="12" t="n"/>
      <c r="L180" s="13">
        <f>COUNTIF(E180:G180,"有")+IF(H180&gt;=6,1,0)+IF(I180&gt;0,1,0)</f>
        <v/>
      </c>
      <c r="M180" s="11" t="n"/>
      <c r="N180" s="13">
        <f>IF(COUNTA(A180:G180)=0,"",IF(L180&gt;=2,"完成","再觀察"))</f>
        <v/>
      </c>
    </row>
    <row r="181">
      <c r="A181" s="10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2" t="n"/>
      <c r="K181" s="12" t="n"/>
      <c r="L181" s="13">
        <f>COUNTIF(E181:G181,"有")+IF(H181&gt;=6,1,0)+IF(I181&gt;0,1,0)</f>
        <v/>
      </c>
      <c r="M181" s="11" t="n"/>
      <c r="N181" s="13">
        <f>IF(COUNTA(A181:G181)=0,"",IF(L181&gt;=2,"完成","再觀察"))</f>
        <v/>
      </c>
    </row>
    <row r="182">
      <c r="A182" s="10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2" t="n"/>
      <c r="K182" s="12" t="n"/>
      <c r="L182" s="13">
        <f>COUNTIF(E182:G182,"有")+IF(H182&gt;=6,1,0)+IF(I182&gt;0,1,0)</f>
        <v/>
      </c>
      <c r="M182" s="11" t="n"/>
      <c r="N182" s="13">
        <f>IF(COUNTA(A182:G182)=0,"",IF(L182&gt;=2,"完成","再觀察"))</f>
        <v/>
      </c>
    </row>
    <row r="183">
      <c r="A183" s="10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2" t="n"/>
      <c r="K183" s="12" t="n"/>
      <c r="L183" s="13">
        <f>COUNTIF(E183:G183,"有")+IF(H183&gt;=6,1,0)+IF(I183&gt;0,1,0)</f>
        <v/>
      </c>
      <c r="M183" s="11" t="n"/>
      <c r="N183" s="13">
        <f>IF(COUNTA(A183:G183)=0,"",IF(L183&gt;=2,"完成","再觀察"))</f>
        <v/>
      </c>
    </row>
    <row r="184">
      <c r="A184" s="10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2" t="n"/>
      <c r="K184" s="12" t="n"/>
      <c r="L184" s="13">
        <f>COUNTIF(E184:G184,"有")+IF(H184&gt;=6,1,0)+IF(I184&gt;0,1,0)</f>
        <v/>
      </c>
      <c r="M184" s="11" t="n"/>
      <c r="N184" s="13">
        <f>IF(COUNTA(A184:G184)=0,"",IF(L184&gt;=2,"完成","再觀察"))</f>
        <v/>
      </c>
    </row>
    <row r="185">
      <c r="A185" s="10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2" t="n"/>
      <c r="K185" s="12" t="n"/>
      <c r="L185" s="13">
        <f>COUNTIF(E185:G185,"有")+IF(H185&gt;=6,1,0)+IF(I185&gt;0,1,0)</f>
        <v/>
      </c>
      <c r="M185" s="11" t="n"/>
      <c r="N185" s="13">
        <f>IF(COUNTA(A185:G185)=0,"",IF(L185&gt;=2,"完成","再觀察"))</f>
        <v/>
      </c>
    </row>
    <row r="186">
      <c r="A186" s="10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2" t="n"/>
      <c r="K186" s="12" t="n"/>
      <c r="L186" s="13">
        <f>COUNTIF(E186:G186,"有")+IF(H186&gt;=6,1,0)+IF(I186&gt;0,1,0)</f>
        <v/>
      </c>
      <c r="M186" s="11" t="n"/>
      <c r="N186" s="13">
        <f>IF(COUNTA(A186:G186)=0,"",IF(L186&gt;=2,"完成","再觀察"))</f>
        <v/>
      </c>
    </row>
    <row r="187">
      <c r="A187" s="10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2" t="n"/>
      <c r="K187" s="12" t="n"/>
      <c r="L187" s="13">
        <f>COUNTIF(E187:G187,"有")+IF(H187&gt;=6,1,0)+IF(I187&gt;0,1,0)</f>
        <v/>
      </c>
      <c r="M187" s="11" t="n"/>
      <c r="N187" s="13">
        <f>IF(COUNTA(A187:G187)=0,"",IF(L187&gt;=2,"完成","再觀察"))</f>
        <v/>
      </c>
    </row>
    <row r="188">
      <c r="A188" s="10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2" t="n"/>
      <c r="K188" s="12" t="n"/>
      <c r="L188" s="13">
        <f>COUNTIF(E188:G188,"有")+IF(H188&gt;=6,1,0)+IF(I188&gt;0,1,0)</f>
        <v/>
      </c>
      <c r="M188" s="11" t="n"/>
      <c r="N188" s="13">
        <f>IF(COUNTA(A188:G188)=0,"",IF(L188&gt;=2,"完成","再觀察"))</f>
        <v/>
      </c>
    </row>
    <row r="189">
      <c r="A189" s="10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2" t="n"/>
      <c r="K189" s="12" t="n"/>
      <c r="L189" s="13">
        <f>COUNTIF(E189:G189,"有")+IF(H189&gt;=6,1,0)+IF(I189&gt;0,1,0)</f>
        <v/>
      </c>
      <c r="M189" s="11" t="n"/>
      <c r="N189" s="13">
        <f>IF(COUNTA(A189:G189)=0,"",IF(L189&gt;=2,"完成","再觀察"))</f>
        <v/>
      </c>
    </row>
    <row r="190">
      <c r="A190" s="10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2" t="n"/>
      <c r="K190" s="12" t="n"/>
      <c r="L190" s="13">
        <f>COUNTIF(E190:G190,"有")+IF(H190&gt;=6,1,0)+IF(I190&gt;0,1,0)</f>
        <v/>
      </c>
      <c r="M190" s="11" t="n"/>
      <c r="N190" s="13">
        <f>IF(COUNTA(A190:G190)=0,"",IF(L190&gt;=2,"完成","再觀察"))</f>
        <v/>
      </c>
    </row>
    <row r="191">
      <c r="A191" s="10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2" t="n"/>
      <c r="K191" s="12" t="n"/>
      <c r="L191" s="13">
        <f>COUNTIF(E191:G191,"有")+IF(H191&gt;=6,1,0)+IF(I191&gt;0,1,0)</f>
        <v/>
      </c>
      <c r="M191" s="11" t="n"/>
      <c r="N191" s="13">
        <f>IF(COUNTA(A191:G191)=0,"",IF(L191&gt;=2,"完成","再觀察"))</f>
        <v/>
      </c>
    </row>
    <row r="192">
      <c r="A192" s="10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2" t="n"/>
      <c r="K192" s="12" t="n"/>
      <c r="L192" s="13">
        <f>COUNTIF(E192:G192,"有")+IF(H192&gt;=6,1,0)+IF(I192&gt;0,1,0)</f>
        <v/>
      </c>
      <c r="M192" s="11" t="n"/>
      <c r="N192" s="13">
        <f>IF(COUNTA(A192:G192)=0,"",IF(L192&gt;=2,"完成","再觀察"))</f>
        <v/>
      </c>
    </row>
    <row r="193">
      <c r="A193" s="10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2" t="n"/>
      <c r="K193" s="12" t="n"/>
      <c r="L193" s="13">
        <f>COUNTIF(E193:G193,"有")+IF(H193&gt;=6,1,0)+IF(I193&gt;0,1,0)</f>
        <v/>
      </c>
      <c r="M193" s="11" t="n"/>
      <c r="N193" s="13">
        <f>IF(COUNTA(A193:G193)=0,"",IF(L193&gt;=2,"完成","再觀察"))</f>
        <v/>
      </c>
    </row>
    <row r="194">
      <c r="A194" s="10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2" t="n"/>
      <c r="K194" s="12" t="n"/>
      <c r="L194" s="13">
        <f>COUNTIF(E194:G194,"有")+IF(H194&gt;=6,1,0)+IF(I194&gt;0,1,0)</f>
        <v/>
      </c>
      <c r="M194" s="11" t="n"/>
      <c r="N194" s="13">
        <f>IF(COUNTA(A194:G194)=0,"",IF(L194&gt;=2,"完成","再觀察"))</f>
        <v/>
      </c>
    </row>
    <row r="195">
      <c r="A195" s="10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2" t="n"/>
      <c r="K195" s="12" t="n"/>
      <c r="L195" s="13">
        <f>COUNTIF(E195:G195,"有")+IF(H195&gt;=6,1,0)+IF(I195&gt;0,1,0)</f>
        <v/>
      </c>
      <c r="M195" s="11" t="n"/>
      <c r="N195" s="13">
        <f>IF(COUNTA(A195:G195)=0,"",IF(L195&gt;=2,"完成","再觀察"))</f>
        <v/>
      </c>
    </row>
    <row r="196">
      <c r="A196" s="10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2" t="n"/>
      <c r="K196" s="12" t="n"/>
      <c r="L196" s="13">
        <f>COUNTIF(E196:G196,"有")+IF(H196&gt;=6,1,0)+IF(I196&gt;0,1,0)</f>
        <v/>
      </c>
      <c r="M196" s="11" t="n"/>
      <c r="N196" s="13">
        <f>IF(COUNTA(A196:G196)=0,"",IF(L196&gt;=2,"完成","再觀察"))</f>
        <v/>
      </c>
    </row>
    <row r="197">
      <c r="A197" s="10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2" t="n"/>
      <c r="K197" s="12" t="n"/>
      <c r="L197" s="13">
        <f>COUNTIF(E197:G197,"有")+IF(H197&gt;=6,1,0)+IF(I197&gt;0,1,0)</f>
        <v/>
      </c>
      <c r="M197" s="11" t="n"/>
      <c r="N197" s="13">
        <f>IF(COUNTA(A197:G197)=0,"",IF(L197&gt;=2,"完成","再觀察"))</f>
        <v/>
      </c>
    </row>
    <row r="198">
      <c r="A198" s="10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2" t="n"/>
      <c r="K198" s="12" t="n"/>
      <c r="L198" s="13">
        <f>COUNTIF(E198:G198,"有")+IF(H198&gt;=6,1,0)+IF(I198&gt;0,1,0)</f>
        <v/>
      </c>
      <c r="M198" s="11" t="n"/>
      <c r="N198" s="13">
        <f>IF(COUNTA(A198:G198)=0,"",IF(L198&gt;=2,"完成","再觀察"))</f>
        <v/>
      </c>
    </row>
    <row r="199">
      <c r="A199" s="10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2" t="n"/>
      <c r="K199" s="12" t="n"/>
      <c r="L199" s="13">
        <f>COUNTIF(E199:G199,"有")+IF(H199&gt;=6,1,0)+IF(I199&gt;0,1,0)</f>
        <v/>
      </c>
      <c r="M199" s="11" t="n"/>
      <c r="N199" s="13">
        <f>IF(COUNTA(A199:G199)=0,"",IF(L199&gt;=2,"完成","再觀察"))</f>
        <v/>
      </c>
    </row>
    <row r="200">
      <c r="A200" s="10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2" t="n"/>
      <c r="K200" s="12" t="n"/>
      <c r="L200" s="13">
        <f>COUNTIF(E200:G200,"有")+IF(H200&gt;=6,1,0)+IF(I200&gt;0,1,0)</f>
        <v/>
      </c>
      <c r="M200" s="11" t="n"/>
      <c r="N200" s="13">
        <f>IF(COUNTA(A200:G200)=0,"",IF(L200&gt;=2,"完成","再觀察"))</f>
        <v/>
      </c>
    </row>
    <row r="201">
      <c r="A201" s="10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2" t="n"/>
      <c r="K201" s="12" t="n"/>
      <c r="L201" s="13">
        <f>COUNTIF(E201:G201,"有")+IF(H201&gt;=6,1,0)+IF(I201&gt;0,1,0)</f>
        <v/>
      </c>
      <c r="M201" s="11" t="n"/>
      <c r="N201" s="13">
        <f>IF(COUNTA(A201:G201)=0,"",IF(L201&gt;=2,"完成","再觀察"))</f>
        <v/>
      </c>
    </row>
    <row r="202">
      <c r="A202" s="10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2" t="n"/>
      <c r="K202" s="12" t="n"/>
      <c r="L202" s="13">
        <f>COUNTIF(E202:G202,"有")+IF(H202&gt;=6,1,0)+IF(I202&gt;0,1,0)</f>
        <v/>
      </c>
      <c r="M202" s="11" t="n"/>
      <c r="N202" s="13">
        <f>IF(COUNTA(A202:G202)=0,"",IF(L202&gt;=2,"完成","再觀察"))</f>
        <v/>
      </c>
    </row>
    <row r="203">
      <c r="A203" s="10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2" t="n"/>
      <c r="K203" s="12" t="n"/>
      <c r="L203" s="13">
        <f>COUNTIF(E203:G203,"有")+IF(H203&gt;=6,1,0)+IF(I203&gt;0,1,0)</f>
        <v/>
      </c>
      <c r="M203" s="11" t="n"/>
      <c r="N203" s="13">
        <f>IF(COUNTA(A203:G203)=0,"",IF(L203&gt;=2,"完成","再觀察"))</f>
        <v/>
      </c>
    </row>
    <row r="204">
      <c r="A204" s="10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2" t="n"/>
      <c r="K204" s="12" t="n"/>
      <c r="L204" s="13">
        <f>COUNTIF(E204:G204,"有")+IF(H204&gt;=6,1,0)+IF(I204&gt;0,1,0)</f>
        <v/>
      </c>
      <c r="M204" s="11" t="n"/>
      <c r="N204" s="13">
        <f>IF(COUNTA(A204:G204)=0,"",IF(L204&gt;=2,"完成","再觀察"))</f>
        <v/>
      </c>
    </row>
    <row r="205">
      <c r="A205" s="10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2" t="n"/>
      <c r="K205" s="12" t="n"/>
      <c r="L205" s="13">
        <f>COUNTIF(E205:G205,"有")+IF(H205&gt;=6,1,0)+IF(I205&gt;0,1,0)</f>
        <v/>
      </c>
      <c r="M205" s="11" t="n"/>
      <c r="N205" s="13">
        <f>IF(COUNTA(A205:G205)=0,"",IF(L205&gt;=2,"完成","再觀察"))</f>
        <v/>
      </c>
    </row>
    <row r="206">
      <c r="A206" s="10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2" t="n"/>
      <c r="K206" s="12" t="n"/>
      <c r="L206" s="13">
        <f>COUNTIF(E206:G206,"有")+IF(H206&gt;=6,1,0)+IF(I206&gt;0,1,0)</f>
        <v/>
      </c>
      <c r="M206" s="11" t="n"/>
      <c r="N206" s="13">
        <f>IF(COUNTA(A206:G206)=0,"",IF(L206&gt;=2,"完成","再觀察"))</f>
        <v/>
      </c>
    </row>
    <row r="207">
      <c r="A207" s="10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2" t="n"/>
      <c r="K207" s="12" t="n"/>
      <c r="L207" s="13">
        <f>COUNTIF(E207:G207,"有")+IF(H207&gt;=6,1,0)+IF(I207&gt;0,1,0)</f>
        <v/>
      </c>
      <c r="M207" s="11" t="n"/>
      <c r="N207" s="13">
        <f>IF(COUNTA(A207:G207)=0,"",IF(L207&gt;=2,"完成","再觀察"))</f>
        <v/>
      </c>
    </row>
    <row r="208">
      <c r="A208" s="10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2" t="n"/>
      <c r="K208" s="12" t="n"/>
      <c r="L208" s="13">
        <f>COUNTIF(E208:G208,"有")+IF(H208&gt;=6,1,0)+IF(I208&gt;0,1,0)</f>
        <v/>
      </c>
      <c r="M208" s="11" t="n"/>
      <c r="N208" s="13">
        <f>IF(COUNTA(A208:G208)=0,"",IF(L208&gt;=2,"完成","再觀察"))</f>
        <v/>
      </c>
    </row>
    <row r="209">
      <c r="A209" s="10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2" t="n"/>
      <c r="K209" s="12" t="n"/>
      <c r="L209" s="13">
        <f>COUNTIF(E209:G209,"有")+IF(H209&gt;=6,1,0)+IF(I209&gt;0,1,0)</f>
        <v/>
      </c>
      <c r="M209" s="11" t="n"/>
      <c r="N209" s="13">
        <f>IF(COUNTA(A209:G209)=0,"",IF(L209&gt;=2,"完成","再觀察"))</f>
        <v/>
      </c>
    </row>
    <row r="210">
      <c r="A210" s="10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2" t="n"/>
      <c r="K210" s="12" t="n"/>
      <c r="L210" s="13">
        <f>COUNTIF(E210:G210,"有")+IF(H210&gt;=6,1,0)+IF(I210&gt;0,1,0)</f>
        <v/>
      </c>
      <c r="M210" s="11" t="n"/>
      <c r="N210" s="13">
        <f>IF(COUNTA(A210:G210)=0,"",IF(L210&gt;=2,"完成","再觀察"))</f>
        <v/>
      </c>
    </row>
    <row r="211">
      <c r="A211" s="10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2" t="n"/>
      <c r="K211" s="12" t="n"/>
      <c r="L211" s="13">
        <f>COUNTIF(E211:G211,"有")+IF(H211&gt;=6,1,0)+IF(I211&gt;0,1,0)</f>
        <v/>
      </c>
      <c r="M211" s="11" t="n"/>
      <c r="N211" s="13">
        <f>IF(COUNTA(A211:G211)=0,"",IF(L211&gt;=2,"完成","再觀察"))</f>
        <v/>
      </c>
    </row>
    <row r="212">
      <c r="A212" s="10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2" t="n"/>
      <c r="K212" s="12" t="n"/>
      <c r="L212" s="13">
        <f>COUNTIF(E212:G212,"有")+IF(H212&gt;=6,1,0)+IF(I212&gt;0,1,0)</f>
        <v/>
      </c>
      <c r="M212" s="11" t="n"/>
      <c r="N212" s="13">
        <f>IF(COUNTA(A212:G212)=0,"",IF(L212&gt;=2,"完成","再觀察"))</f>
        <v/>
      </c>
    </row>
    <row r="213">
      <c r="A213" s="10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2" t="n"/>
      <c r="K213" s="12" t="n"/>
      <c r="L213" s="13">
        <f>COUNTIF(E213:G213,"有")+IF(H213&gt;=6,1,0)+IF(I213&gt;0,1,0)</f>
        <v/>
      </c>
      <c r="M213" s="11" t="n"/>
      <c r="N213" s="13">
        <f>IF(COUNTA(A213:G213)=0,"",IF(L213&gt;=2,"完成","再觀察"))</f>
        <v/>
      </c>
    </row>
    <row r="214">
      <c r="A214" s="10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2" t="n"/>
      <c r="K214" s="12" t="n"/>
      <c r="L214" s="13">
        <f>COUNTIF(E214:G214,"有")+IF(H214&gt;=6,1,0)+IF(I214&gt;0,1,0)</f>
        <v/>
      </c>
      <c r="M214" s="11" t="n"/>
      <c r="N214" s="13">
        <f>IF(COUNTA(A214:G214)=0,"",IF(L214&gt;=2,"完成","再觀察"))</f>
        <v/>
      </c>
    </row>
    <row r="215">
      <c r="A215" s="10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2" t="n"/>
      <c r="K215" s="12" t="n"/>
      <c r="L215" s="13">
        <f>COUNTIF(E215:G215,"有")+IF(H215&gt;=6,1,0)+IF(I215&gt;0,1,0)</f>
        <v/>
      </c>
      <c r="M215" s="11" t="n"/>
      <c r="N215" s="13">
        <f>IF(COUNTA(A215:G215)=0,"",IF(L215&gt;=2,"完成","再觀察"))</f>
        <v/>
      </c>
    </row>
    <row r="216">
      <c r="A216" s="10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2" t="n"/>
      <c r="K216" s="12" t="n"/>
      <c r="L216" s="13">
        <f>COUNTIF(E216:G216,"有")+IF(H216&gt;=6,1,0)+IF(I216&gt;0,1,0)</f>
        <v/>
      </c>
      <c r="M216" s="11" t="n"/>
      <c r="N216" s="13">
        <f>IF(COUNTA(A216:G216)=0,"",IF(L216&gt;=2,"完成","再觀察"))</f>
        <v/>
      </c>
    </row>
    <row r="217">
      <c r="A217" s="10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2" t="n"/>
      <c r="K217" s="12" t="n"/>
      <c r="L217" s="13">
        <f>COUNTIF(E217:G217,"有")+IF(H217&gt;=6,1,0)+IF(I217&gt;0,1,0)</f>
        <v/>
      </c>
      <c r="M217" s="11" t="n"/>
      <c r="N217" s="13">
        <f>IF(COUNTA(A217:G217)=0,"",IF(L217&gt;=2,"完成","再觀察"))</f>
        <v/>
      </c>
    </row>
    <row r="218">
      <c r="A218" s="10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2" t="n"/>
      <c r="K218" s="12" t="n"/>
      <c r="L218" s="13">
        <f>COUNTIF(E218:G218,"有")+IF(H218&gt;=6,1,0)+IF(I218&gt;0,1,0)</f>
        <v/>
      </c>
      <c r="M218" s="11" t="n"/>
      <c r="N218" s="13">
        <f>IF(COUNTA(A218:G218)=0,"",IF(L218&gt;=2,"完成","再觀察"))</f>
        <v/>
      </c>
    </row>
    <row r="219">
      <c r="A219" s="10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2" t="n"/>
      <c r="K219" s="12" t="n"/>
      <c r="L219" s="13">
        <f>COUNTIF(E219:G219,"有")+IF(H219&gt;=6,1,0)+IF(I219&gt;0,1,0)</f>
        <v/>
      </c>
      <c r="M219" s="11" t="n"/>
      <c r="N219" s="13">
        <f>IF(COUNTA(A219:G219)=0,"",IF(L219&gt;=2,"完成","再觀察"))</f>
        <v/>
      </c>
    </row>
    <row r="220">
      <c r="A220" s="10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2" t="n"/>
      <c r="K220" s="12" t="n"/>
      <c r="L220" s="13">
        <f>COUNTIF(E220:G220,"有")+IF(H220&gt;=6,1,0)+IF(I220&gt;0,1,0)</f>
        <v/>
      </c>
      <c r="M220" s="11" t="n"/>
      <c r="N220" s="13">
        <f>IF(COUNTA(A220:G220)=0,"",IF(L220&gt;=2,"完成","再觀察"))</f>
        <v/>
      </c>
    </row>
    <row r="221">
      <c r="A221" s="10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2" t="n"/>
      <c r="K221" s="12" t="n"/>
      <c r="L221" s="13">
        <f>COUNTIF(E221:G221,"有")+IF(H221&gt;=6,1,0)+IF(I221&gt;0,1,0)</f>
        <v/>
      </c>
      <c r="M221" s="11" t="n"/>
      <c r="N221" s="13">
        <f>IF(COUNTA(A221:G221)=0,"",IF(L221&gt;=2,"完成","再觀察"))</f>
        <v/>
      </c>
    </row>
    <row r="222">
      <c r="A222" s="10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2" t="n"/>
      <c r="K222" s="12" t="n"/>
      <c r="L222" s="13">
        <f>COUNTIF(E222:G222,"有")+IF(H222&gt;=6,1,0)+IF(I222&gt;0,1,0)</f>
        <v/>
      </c>
      <c r="M222" s="11" t="n"/>
      <c r="N222" s="13">
        <f>IF(COUNTA(A222:G222)=0,"",IF(L222&gt;=2,"完成","再觀察"))</f>
        <v/>
      </c>
    </row>
    <row r="223">
      <c r="A223" s="10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2" t="n"/>
      <c r="K223" s="12" t="n"/>
      <c r="L223" s="13">
        <f>COUNTIF(E223:G223,"有")+IF(H223&gt;=6,1,0)+IF(I223&gt;0,1,0)</f>
        <v/>
      </c>
      <c r="M223" s="11" t="n"/>
      <c r="N223" s="13">
        <f>IF(COUNTA(A223:G223)=0,"",IF(L223&gt;=2,"完成","再觀察"))</f>
        <v/>
      </c>
    </row>
    <row r="224">
      <c r="A224" s="10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2" t="n"/>
      <c r="K224" s="12" t="n"/>
      <c r="L224" s="13">
        <f>COUNTIF(E224:G224,"有")+IF(H224&gt;=6,1,0)+IF(I224&gt;0,1,0)</f>
        <v/>
      </c>
      <c r="M224" s="11" t="n"/>
      <c r="N224" s="13">
        <f>IF(COUNTA(A224:G224)=0,"",IF(L224&gt;=2,"完成","再觀察"))</f>
        <v/>
      </c>
    </row>
    <row r="225">
      <c r="A225" s="10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2" t="n"/>
      <c r="K225" s="12" t="n"/>
      <c r="L225" s="13">
        <f>COUNTIF(E225:G225,"有")+IF(H225&gt;=6,1,0)+IF(I225&gt;0,1,0)</f>
        <v/>
      </c>
      <c r="M225" s="11" t="n"/>
      <c r="N225" s="13">
        <f>IF(COUNTA(A225:G225)=0,"",IF(L225&gt;=2,"完成","再觀察"))</f>
        <v/>
      </c>
    </row>
    <row r="226">
      <c r="A226" s="10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2" t="n"/>
      <c r="K226" s="12" t="n"/>
      <c r="L226" s="13">
        <f>COUNTIF(E226:G226,"有")+IF(H226&gt;=6,1,0)+IF(I226&gt;0,1,0)</f>
        <v/>
      </c>
      <c r="M226" s="11" t="n"/>
      <c r="N226" s="13">
        <f>IF(COUNTA(A226:G226)=0,"",IF(L226&gt;=2,"完成","再觀察"))</f>
        <v/>
      </c>
    </row>
    <row r="227">
      <c r="A227" s="10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2" t="n"/>
      <c r="K227" s="12" t="n"/>
      <c r="L227" s="13">
        <f>COUNTIF(E227:G227,"有")+IF(H227&gt;=6,1,0)+IF(I227&gt;0,1,0)</f>
        <v/>
      </c>
      <c r="M227" s="11" t="n"/>
      <c r="N227" s="13">
        <f>IF(COUNTA(A227:G227)=0,"",IF(L227&gt;=2,"完成","再觀察"))</f>
        <v/>
      </c>
    </row>
    <row r="228">
      <c r="A228" s="10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2" t="n"/>
      <c r="K228" s="12" t="n"/>
      <c r="L228" s="13">
        <f>COUNTIF(E228:G228,"有")+IF(H228&gt;=6,1,0)+IF(I228&gt;0,1,0)</f>
        <v/>
      </c>
      <c r="M228" s="11" t="n"/>
      <c r="N228" s="13">
        <f>IF(COUNTA(A228:G228)=0,"",IF(L228&gt;=2,"完成","再觀察"))</f>
        <v/>
      </c>
    </row>
    <row r="229">
      <c r="A229" s="10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2" t="n"/>
      <c r="K229" s="12" t="n"/>
      <c r="L229" s="13">
        <f>COUNTIF(E229:G229,"有")+IF(H229&gt;=6,1,0)+IF(I229&gt;0,1,0)</f>
        <v/>
      </c>
      <c r="M229" s="11" t="n"/>
      <c r="N229" s="13">
        <f>IF(COUNTA(A229:G229)=0,"",IF(L229&gt;=2,"完成","再觀察"))</f>
        <v/>
      </c>
    </row>
    <row r="230">
      <c r="A230" s="10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2" t="n"/>
      <c r="K230" s="12" t="n"/>
      <c r="L230" s="13">
        <f>COUNTIF(E230:G230,"有")+IF(H230&gt;=6,1,0)+IF(I230&gt;0,1,0)</f>
        <v/>
      </c>
      <c r="M230" s="11" t="n"/>
      <c r="N230" s="13">
        <f>IF(COUNTA(A230:G230)=0,"",IF(L230&gt;=2,"完成","再觀察"))</f>
        <v/>
      </c>
    </row>
    <row r="231">
      <c r="A231" s="10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2" t="n"/>
      <c r="K231" s="12" t="n"/>
      <c r="L231" s="13">
        <f>COUNTIF(E231:G231,"有")+IF(H231&gt;=6,1,0)+IF(I231&gt;0,1,0)</f>
        <v/>
      </c>
      <c r="M231" s="11" t="n"/>
      <c r="N231" s="13">
        <f>IF(COUNTA(A231:G231)=0,"",IF(L231&gt;=2,"完成","再觀察"))</f>
        <v/>
      </c>
    </row>
    <row r="232">
      <c r="A232" s="10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2" t="n"/>
      <c r="K232" s="12" t="n"/>
      <c r="L232" s="13">
        <f>COUNTIF(E232:G232,"有")+IF(H232&gt;=6,1,0)+IF(I232&gt;0,1,0)</f>
        <v/>
      </c>
      <c r="M232" s="11" t="n"/>
      <c r="N232" s="13">
        <f>IF(COUNTA(A232:G232)=0,"",IF(L232&gt;=2,"完成","再觀察"))</f>
        <v/>
      </c>
    </row>
    <row r="233">
      <c r="A233" s="10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2" t="n"/>
      <c r="K233" s="12" t="n"/>
      <c r="L233" s="13">
        <f>COUNTIF(E233:G233,"有")+IF(H233&gt;=6,1,0)+IF(I233&gt;0,1,0)</f>
        <v/>
      </c>
      <c r="M233" s="11" t="n"/>
      <c r="N233" s="13">
        <f>IF(COUNTA(A233:G233)=0,"",IF(L233&gt;=2,"完成","再觀察"))</f>
        <v/>
      </c>
    </row>
    <row r="234">
      <c r="A234" s="10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2" t="n"/>
      <c r="K234" s="12" t="n"/>
      <c r="L234" s="13">
        <f>COUNTIF(E234:G234,"有")+IF(H234&gt;=6,1,0)+IF(I234&gt;0,1,0)</f>
        <v/>
      </c>
      <c r="M234" s="11" t="n"/>
      <c r="N234" s="13">
        <f>IF(COUNTA(A234:G234)=0,"",IF(L234&gt;=2,"完成","再觀察"))</f>
        <v/>
      </c>
    </row>
    <row r="235">
      <c r="A235" s="10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2" t="n"/>
      <c r="K235" s="12" t="n"/>
      <c r="L235" s="13">
        <f>COUNTIF(E235:G235,"有")+IF(H235&gt;=6,1,0)+IF(I235&gt;0,1,0)</f>
        <v/>
      </c>
      <c r="M235" s="11" t="n"/>
      <c r="N235" s="13">
        <f>IF(COUNTA(A235:G235)=0,"",IF(L235&gt;=2,"完成","再觀察"))</f>
        <v/>
      </c>
    </row>
    <row r="236">
      <c r="A236" s="10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2" t="n"/>
      <c r="K236" s="12" t="n"/>
      <c r="L236" s="13">
        <f>COUNTIF(E236:G236,"有")+IF(H236&gt;=6,1,0)+IF(I236&gt;0,1,0)</f>
        <v/>
      </c>
      <c r="M236" s="11" t="n"/>
      <c r="N236" s="13">
        <f>IF(COUNTA(A236:G236)=0,"",IF(L236&gt;=2,"完成","再觀察"))</f>
        <v/>
      </c>
    </row>
    <row r="237">
      <c r="A237" s="10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2" t="n"/>
      <c r="K237" s="12" t="n"/>
      <c r="L237" s="13">
        <f>COUNTIF(E237:G237,"有")+IF(H237&gt;=6,1,0)+IF(I237&gt;0,1,0)</f>
        <v/>
      </c>
      <c r="M237" s="11" t="n"/>
      <c r="N237" s="13">
        <f>IF(COUNTA(A237:G237)=0,"",IF(L237&gt;=2,"完成","再觀察"))</f>
        <v/>
      </c>
    </row>
    <row r="238">
      <c r="A238" s="10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2" t="n"/>
      <c r="K238" s="12" t="n"/>
      <c r="L238" s="13">
        <f>COUNTIF(E238:G238,"有")+IF(H238&gt;=6,1,0)+IF(I238&gt;0,1,0)</f>
        <v/>
      </c>
      <c r="M238" s="11" t="n"/>
      <c r="N238" s="13">
        <f>IF(COUNTA(A238:G238)=0,"",IF(L238&gt;=2,"完成","再觀察"))</f>
        <v/>
      </c>
    </row>
    <row r="239">
      <c r="A239" s="10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2" t="n"/>
      <c r="K239" s="12" t="n"/>
      <c r="L239" s="13">
        <f>COUNTIF(E239:G239,"有")+IF(H239&gt;=6,1,0)+IF(I239&gt;0,1,0)</f>
        <v/>
      </c>
      <c r="M239" s="11" t="n"/>
      <c r="N239" s="13">
        <f>IF(COUNTA(A239:G239)=0,"",IF(L239&gt;=2,"完成","再觀察"))</f>
        <v/>
      </c>
    </row>
    <row r="240">
      <c r="A240" s="10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2" t="n"/>
      <c r="K240" s="12" t="n"/>
      <c r="L240" s="13">
        <f>COUNTIF(E240:G240,"有")+IF(H240&gt;=6,1,0)+IF(I240&gt;0,1,0)</f>
        <v/>
      </c>
      <c r="M240" s="11" t="n"/>
      <c r="N240" s="13">
        <f>IF(COUNTA(A240:G240)=0,"",IF(L240&gt;=2,"完成","再觀察"))</f>
        <v/>
      </c>
    </row>
    <row r="241">
      <c r="A241" s="10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2" t="n"/>
      <c r="K241" s="12" t="n"/>
      <c r="L241" s="13">
        <f>COUNTIF(E241:G241,"有")+IF(H241&gt;=6,1,0)+IF(I241&gt;0,1,0)</f>
        <v/>
      </c>
      <c r="M241" s="11" t="n"/>
      <c r="N241" s="13">
        <f>IF(COUNTA(A241:G241)=0,"",IF(L241&gt;=2,"完成","再觀察"))</f>
        <v/>
      </c>
    </row>
    <row r="242">
      <c r="A242" s="10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2" t="n"/>
      <c r="K242" s="12" t="n"/>
      <c r="L242" s="13">
        <f>COUNTIF(E242:G242,"有")+IF(H242&gt;=6,1,0)+IF(I242&gt;0,1,0)</f>
        <v/>
      </c>
      <c r="M242" s="11" t="n"/>
      <c r="N242" s="13">
        <f>IF(COUNTA(A242:G242)=0,"",IF(L242&gt;=2,"完成","再觀察"))</f>
        <v/>
      </c>
    </row>
    <row r="243">
      <c r="A243" s="10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2" t="n"/>
      <c r="K243" s="12" t="n"/>
      <c r="L243" s="13">
        <f>COUNTIF(E243:G243,"有")+IF(H243&gt;=6,1,0)+IF(I243&gt;0,1,0)</f>
        <v/>
      </c>
      <c r="M243" s="11" t="n"/>
      <c r="N243" s="13">
        <f>IF(COUNTA(A243:G243)=0,"",IF(L243&gt;=2,"完成","再觀察"))</f>
        <v/>
      </c>
    </row>
    <row r="244">
      <c r="A244" s="10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2" t="n"/>
      <c r="K244" s="12" t="n"/>
      <c r="L244" s="13">
        <f>COUNTIF(E244:G244,"有")+IF(H244&gt;=6,1,0)+IF(I244&gt;0,1,0)</f>
        <v/>
      </c>
      <c r="M244" s="11" t="n"/>
      <c r="N244" s="13">
        <f>IF(COUNTA(A244:G244)=0,"",IF(L244&gt;=2,"完成","再觀察"))</f>
        <v/>
      </c>
    </row>
    <row r="245">
      <c r="A245" s="10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2" t="n"/>
      <c r="K245" s="12" t="n"/>
      <c r="L245" s="13">
        <f>COUNTIF(E245:G245,"有")+IF(H245&gt;=6,1,0)+IF(I245&gt;0,1,0)</f>
        <v/>
      </c>
      <c r="M245" s="11" t="n"/>
      <c r="N245" s="13">
        <f>IF(COUNTA(A245:G245)=0,"",IF(L245&gt;=2,"完成","再觀察"))</f>
        <v/>
      </c>
    </row>
    <row r="246">
      <c r="A246" s="10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2" t="n"/>
      <c r="K246" s="12" t="n"/>
      <c r="L246" s="13">
        <f>COUNTIF(E246:G246,"有")+IF(H246&gt;=6,1,0)+IF(I246&gt;0,1,0)</f>
        <v/>
      </c>
      <c r="M246" s="11" t="n"/>
      <c r="N246" s="13">
        <f>IF(COUNTA(A246:G246)=0,"",IF(L246&gt;=2,"完成","再觀察"))</f>
        <v/>
      </c>
    </row>
    <row r="247">
      <c r="A247" s="10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2" t="n"/>
      <c r="K247" s="12" t="n"/>
      <c r="L247" s="13">
        <f>COUNTIF(E247:G247,"有")+IF(H247&gt;=6,1,0)+IF(I247&gt;0,1,0)</f>
        <v/>
      </c>
      <c r="M247" s="11" t="n"/>
      <c r="N247" s="13">
        <f>IF(COUNTA(A247:G247)=0,"",IF(L247&gt;=2,"完成","再觀察"))</f>
        <v/>
      </c>
    </row>
    <row r="248">
      <c r="A248" s="10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2" t="n"/>
      <c r="K248" s="12" t="n"/>
      <c r="L248" s="13">
        <f>COUNTIF(E248:G248,"有")+IF(H248&gt;=6,1,0)+IF(I248&gt;0,1,0)</f>
        <v/>
      </c>
      <c r="M248" s="11" t="n"/>
      <c r="N248" s="13">
        <f>IF(COUNTA(A248:G248)=0,"",IF(L248&gt;=2,"完成","再觀察"))</f>
        <v/>
      </c>
    </row>
    <row r="249">
      <c r="A249" s="10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2" t="n"/>
      <c r="K249" s="12" t="n"/>
      <c r="L249" s="13">
        <f>COUNTIF(E249:G249,"有")+IF(H249&gt;=6,1,0)+IF(I249&gt;0,1,0)</f>
        <v/>
      </c>
      <c r="M249" s="11" t="n"/>
      <c r="N249" s="13">
        <f>IF(COUNTA(A249:G249)=0,"",IF(L249&gt;=2,"完成","再觀察"))</f>
        <v/>
      </c>
    </row>
    <row r="250">
      <c r="A250" s="10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2" t="n"/>
      <c r="K250" s="12" t="n"/>
      <c r="L250" s="13">
        <f>COUNTIF(E250:G250,"有")+IF(H250&gt;=6,1,0)+IF(I250&gt;0,1,0)</f>
        <v/>
      </c>
      <c r="M250" s="11" t="n"/>
      <c r="N250" s="13">
        <f>IF(COUNTA(A250:G250)=0,"",IF(L250&gt;=2,"完成","再觀察"))</f>
        <v/>
      </c>
    </row>
    <row r="251">
      <c r="A251" s="10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2" t="n"/>
      <c r="K251" s="12" t="n"/>
      <c r="L251" s="13">
        <f>COUNTIF(E251:G251,"有")+IF(H251&gt;=6,1,0)+IF(I251&gt;0,1,0)</f>
        <v/>
      </c>
      <c r="M251" s="11" t="n"/>
      <c r="N251" s="13">
        <f>IF(COUNTA(A251:G251)=0,"",IF(L251&gt;=2,"完成","再觀察"))</f>
        <v/>
      </c>
    </row>
    <row r="252">
      <c r="A252" s="10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2" t="n"/>
      <c r="K252" s="12" t="n"/>
      <c r="L252" s="13">
        <f>COUNTIF(E252:G252,"有")+IF(H252&gt;=6,1,0)+IF(I252&gt;0,1,0)</f>
        <v/>
      </c>
      <c r="M252" s="11" t="n"/>
      <c r="N252" s="13">
        <f>IF(COUNTA(A252:G252)=0,"",IF(L252&gt;=2,"完成","再觀察"))</f>
        <v/>
      </c>
    </row>
    <row r="253">
      <c r="A253" s="10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2" t="n"/>
      <c r="K253" s="12" t="n"/>
      <c r="L253" s="13">
        <f>COUNTIF(E253:G253,"有")+IF(H253&gt;=6,1,0)+IF(I253&gt;0,1,0)</f>
        <v/>
      </c>
      <c r="M253" s="11" t="n"/>
      <c r="N253" s="13">
        <f>IF(COUNTA(A253:G253)=0,"",IF(L253&gt;=2,"完成","再觀察"))</f>
        <v/>
      </c>
    </row>
    <row r="254">
      <c r="A254" s="10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2" t="n"/>
      <c r="K254" s="12" t="n"/>
      <c r="L254" s="13">
        <f>COUNTIF(E254:G254,"有")+IF(H254&gt;=6,1,0)+IF(I254&gt;0,1,0)</f>
        <v/>
      </c>
      <c r="M254" s="11" t="n"/>
      <c r="N254" s="13">
        <f>IF(COUNTA(A254:G254)=0,"",IF(L254&gt;=2,"完成","再觀察"))</f>
        <v/>
      </c>
    </row>
    <row r="255">
      <c r="A255" s="10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2" t="n"/>
      <c r="K255" s="12" t="n"/>
      <c r="L255" s="13">
        <f>COUNTIF(E255:G255,"有")+IF(H255&gt;=6,1,0)+IF(I255&gt;0,1,0)</f>
        <v/>
      </c>
      <c r="M255" s="11" t="n"/>
      <c r="N255" s="13">
        <f>IF(COUNTA(A255:G255)=0,"",IF(L255&gt;=2,"完成","再觀察"))</f>
        <v/>
      </c>
    </row>
    <row r="256">
      <c r="A256" s="10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2" t="n"/>
      <c r="K256" s="12" t="n"/>
      <c r="L256" s="13">
        <f>COUNTIF(E256:G256,"有")+IF(H256&gt;=6,1,0)+IF(I256&gt;0,1,0)</f>
        <v/>
      </c>
      <c r="M256" s="11" t="n"/>
      <c r="N256" s="13">
        <f>IF(COUNTA(A256:G256)=0,"",IF(L256&gt;=2,"完成","再觀察"))</f>
        <v/>
      </c>
    </row>
    <row r="257">
      <c r="A257" s="10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2" t="n"/>
      <c r="K257" s="12" t="n"/>
      <c r="L257" s="13">
        <f>COUNTIF(E257:G257,"有")+IF(H257&gt;=6,1,0)+IF(I257&gt;0,1,0)</f>
        <v/>
      </c>
      <c r="M257" s="11" t="n"/>
      <c r="N257" s="13">
        <f>IF(COUNTA(A257:G257)=0,"",IF(L257&gt;=2,"完成","再觀察"))</f>
        <v/>
      </c>
    </row>
    <row r="258">
      <c r="A258" s="10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2" t="n"/>
      <c r="K258" s="12" t="n"/>
      <c r="L258" s="13">
        <f>COUNTIF(E258:G258,"有")+IF(H258&gt;=6,1,0)+IF(I258&gt;0,1,0)</f>
        <v/>
      </c>
      <c r="M258" s="11" t="n"/>
      <c r="N258" s="13">
        <f>IF(COUNTA(A258:G258)=0,"",IF(L258&gt;=2,"完成","再觀察"))</f>
        <v/>
      </c>
    </row>
    <row r="259">
      <c r="A259" s="10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2" t="n"/>
      <c r="K259" s="12" t="n"/>
      <c r="L259" s="13">
        <f>COUNTIF(E259:G259,"有")+IF(H259&gt;=6,1,0)+IF(I259&gt;0,1,0)</f>
        <v/>
      </c>
      <c r="M259" s="11" t="n"/>
      <c r="N259" s="13">
        <f>IF(COUNTA(A259:G259)=0,"",IF(L259&gt;=2,"完成","再觀察"))</f>
        <v/>
      </c>
    </row>
    <row r="260">
      <c r="A260" s="10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2" t="n"/>
      <c r="K260" s="12" t="n"/>
      <c r="L260" s="13">
        <f>COUNTIF(E260:G260,"有")+IF(H260&gt;=6,1,0)+IF(I260&gt;0,1,0)</f>
        <v/>
      </c>
      <c r="M260" s="11" t="n"/>
      <c r="N260" s="13">
        <f>IF(COUNTA(A260:G260)=0,"",IF(L260&gt;=2,"完成","再觀察"))</f>
        <v/>
      </c>
    </row>
    <row r="261">
      <c r="A261" s="10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2" t="n"/>
      <c r="K261" s="12" t="n"/>
      <c r="L261" s="13">
        <f>COUNTIF(E261:G261,"有")+IF(H261&gt;=6,1,0)+IF(I261&gt;0,1,0)</f>
        <v/>
      </c>
      <c r="M261" s="11" t="n"/>
      <c r="N261" s="13">
        <f>IF(COUNTA(A261:G261)=0,"",IF(L261&gt;=2,"完成","再觀察"))</f>
        <v/>
      </c>
    </row>
    <row r="262">
      <c r="A262" s="10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2" t="n"/>
      <c r="K262" s="12" t="n"/>
      <c r="L262" s="13">
        <f>COUNTIF(E262:G262,"有")+IF(H262&gt;=6,1,0)+IF(I262&gt;0,1,0)</f>
        <v/>
      </c>
      <c r="M262" s="11" t="n"/>
      <c r="N262" s="13">
        <f>IF(COUNTA(A262:G262)=0,"",IF(L262&gt;=2,"完成","再觀察"))</f>
        <v/>
      </c>
    </row>
    <row r="263">
      <c r="A263" s="10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2" t="n"/>
      <c r="K263" s="12" t="n"/>
      <c r="L263" s="13">
        <f>COUNTIF(E263:G263,"有")+IF(H263&gt;=6,1,0)+IF(I263&gt;0,1,0)</f>
        <v/>
      </c>
      <c r="M263" s="11" t="n"/>
      <c r="N263" s="13">
        <f>IF(COUNTA(A263:G263)=0,"",IF(L263&gt;=2,"完成","再觀察"))</f>
        <v/>
      </c>
    </row>
    <row r="264">
      <c r="A264" s="10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2" t="n"/>
      <c r="K264" s="12" t="n"/>
      <c r="L264" s="13">
        <f>COUNTIF(E264:G264,"有")+IF(H264&gt;=6,1,0)+IF(I264&gt;0,1,0)</f>
        <v/>
      </c>
      <c r="M264" s="11" t="n"/>
      <c r="N264" s="13">
        <f>IF(COUNTA(A264:G264)=0,"",IF(L264&gt;=2,"完成","再觀察"))</f>
        <v/>
      </c>
    </row>
    <row r="265">
      <c r="A265" s="10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2" t="n"/>
      <c r="K265" s="12" t="n"/>
      <c r="L265" s="13">
        <f>COUNTIF(E265:G265,"有")+IF(H265&gt;=6,1,0)+IF(I265&gt;0,1,0)</f>
        <v/>
      </c>
      <c r="M265" s="11" t="n"/>
      <c r="N265" s="13">
        <f>IF(COUNTA(A265:G265)=0,"",IF(L265&gt;=2,"完成","再觀察"))</f>
        <v/>
      </c>
    </row>
    <row r="266">
      <c r="A266" s="10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2" t="n"/>
      <c r="K266" s="12" t="n"/>
      <c r="L266" s="13">
        <f>COUNTIF(E266:G266,"有")+IF(H266&gt;=6,1,0)+IF(I266&gt;0,1,0)</f>
        <v/>
      </c>
      <c r="M266" s="11" t="n"/>
      <c r="N266" s="13">
        <f>IF(COUNTA(A266:G266)=0,"",IF(L266&gt;=2,"完成","再觀察"))</f>
        <v/>
      </c>
    </row>
    <row r="267">
      <c r="A267" s="10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2" t="n"/>
      <c r="K267" s="12" t="n"/>
      <c r="L267" s="13">
        <f>COUNTIF(E267:G267,"有")+IF(H267&gt;=6,1,0)+IF(I267&gt;0,1,0)</f>
        <v/>
      </c>
      <c r="M267" s="11" t="n"/>
      <c r="N267" s="13">
        <f>IF(COUNTA(A267:G267)=0,"",IF(L267&gt;=2,"完成","再觀察"))</f>
        <v/>
      </c>
    </row>
    <row r="268">
      <c r="A268" s="10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2" t="n"/>
      <c r="K268" s="12" t="n"/>
      <c r="L268" s="13">
        <f>COUNTIF(E268:G268,"有")+IF(H268&gt;=6,1,0)+IF(I268&gt;0,1,0)</f>
        <v/>
      </c>
      <c r="M268" s="11" t="n"/>
      <c r="N268" s="13">
        <f>IF(COUNTA(A268:G268)=0,"",IF(L268&gt;=2,"完成","再觀察"))</f>
        <v/>
      </c>
    </row>
    <row r="269">
      <c r="A269" s="10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2" t="n"/>
      <c r="K269" s="12" t="n"/>
      <c r="L269" s="13">
        <f>COUNTIF(E269:G269,"有")+IF(H269&gt;=6,1,0)+IF(I269&gt;0,1,0)</f>
        <v/>
      </c>
      <c r="M269" s="11" t="n"/>
      <c r="N269" s="13">
        <f>IF(COUNTA(A269:G269)=0,"",IF(L269&gt;=2,"完成","再觀察"))</f>
        <v/>
      </c>
    </row>
    <row r="270">
      <c r="A270" s="10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2" t="n"/>
      <c r="K270" s="12" t="n"/>
      <c r="L270" s="13">
        <f>COUNTIF(E270:G270,"有")+IF(H270&gt;=6,1,0)+IF(I270&gt;0,1,0)</f>
        <v/>
      </c>
      <c r="M270" s="11" t="n"/>
      <c r="N270" s="13">
        <f>IF(COUNTA(A270:G270)=0,"",IF(L270&gt;=2,"完成","再觀察"))</f>
        <v/>
      </c>
    </row>
    <row r="271">
      <c r="A271" s="10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2" t="n"/>
      <c r="K271" s="12" t="n"/>
      <c r="L271" s="13">
        <f>COUNTIF(E271:G271,"有")+IF(H271&gt;=6,1,0)+IF(I271&gt;0,1,0)</f>
        <v/>
      </c>
      <c r="M271" s="11" t="n"/>
      <c r="N271" s="13">
        <f>IF(COUNTA(A271:G271)=0,"",IF(L271&gt;=2,"完成","再觀察"))</f>
        <v/>
      </c>
    </row>
    <row r="272">
      <c r="A272" s="10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2" t="n"/>
      <c r="K272" s="12" t="n"/>
      <c r="L272" s="13">
        <f>COUNTIF(E272:G272,"有")+IF(H272&gt;=6,1,0)+IF(I272&gt;0,1,0)</f>
        <v/>
      </c>
      <c r="M272" s="11" t="n"/>
      <c r="N272" s="13">
        <f>IF(COUNTA(A272:G272)=0,"",IF(L272&gt;=2,"完成","再觀察"))</f>
        <v/>
      </c>
    </row>
    <row r="273">
      <c r="A273" s="10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2" t="n"/>
      <c r="K273" s="12" t="n"/>
      <c r="L273" s="13">
        <f>COUNTIF(E273:G273,"有")+IF(H273&gt;=6,1,0)+IF(I273&gt;0,1,0)</f>
        <v/>
      </c>
      <c r="M273" s="11" t="n"/>
      <c r="N273" s="13">
        <f>IF(COUNTA(A273:G273)=0,"",IF(L273&gt;=2,"完成","再觀察"))</f>
        <v/>
      </c>
    </row>
    <row r="274">
      <c r="A274" s="10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2" t="n"/>
      <c r="K274" s="12" t="n"/>
      <c r="L274" s="13">
        <f>COUNTIF(E274:G274,"有")+IF(H274&gt;=6,1,0)+IF(I274&gt;0,1,0)</f>
        <v/>
      </c>
      <c r="M274" s="11" t="n"/>
      <c r="N274" s="13">
        <f>IF(COUNTA(A274:G274)=0,"",IF(L274&gt;=2,"完成","再觀察"))</f>
        <v/>
      </c>
    </row>
    <row r="275">
      <c r="A275" s="10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2" t="n"/>
      <c r="K275" s="12" t="n"/>
      <c r="L275" s="13">
        <f>COUNTIF(E275:G275,"有")+IF(H275&gt;=6,1,0)+IF(I275&gt;0,1,0)</f>
        <v/>
      </c>
      <c r="M275" s="11" t="n"/>
      <c r="N275" s="13">
        <f>IF(COUNTA(A275:G275)=0,"",IF(L275&gt;=2,"完成","再觀察"))</f>
        <v/>
      </c>
    </row>
    <row r="276">
      <c r="A276" s="10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2" t="n"/>
      <c r="K276" s="12" t="n"/>
      <c r="L276" s="13">
        <f>COUNTIF(E276:G276,"有")+IF(H276&gt;=6,1,0)+IF(I276&gt;0,1,0)</f>
        <v/>
      </c>
      <c r="M276" s="11" t="n"/>
      <c r="N276" s="13">
        <f>IF(COUNTA(A276:G276)=0,"",IF(L276&gt;=2,"完成","再觀察"))</f>
        <v/>
      </c>
    </row>
    <row r="277">
      <c r="A277" s="10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2" t="n"/>
      <c r="K277" s="12" t="n"/>
      <c r="L277" s="13">
        <f>COUNTIF(E277:G277,"有")+IF(H277&gt;=6,1,0)+IF(I277&gt;0,1,0)</f>
        <v/>
      </c>
      <c r="M277" s="11" t="n"/>
      <c r="N277" s="13">
        <f>IF(COUNTA(A277:G277)=0,"",IF(L277&gt;=2,"完成","再觀察"))</f>
        <v/>
      </c>
    </row>
    <row r="278">
      <c r="A278" s="10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2" t="n"/>
      <c r="K278" s="12" t="n"/>
      <c r="L278" s="13">
        <f>COUNTIF(E278:G278,"有")+IF(H278&gt;=6,1,0)+IF(I278&gt;0,1,0)</f>
        <v/>
      </c>
      <c r="M278" s="11" t="n"/>
      <c r="N278" s="13">
        <f>IF(COUNTA(A278:G278)=0,"",IF(L278&gt;=2,"完成","再觀察"))</f>
        <v/>
      </c>
    </row>
    <row r="279">
      <c r="A279" s="10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2" t="n"/>
      <c r="K279" s="12" t="n"/>
      <c r="L279" s="13">
        <f>COUNTIF(E279:G279,"有")+IF(H279&gt;=6,1,0)+IF(I279&gt;0,1,0)</f>
        <v/>
      </c>
      <c r="M279" s="11" t="n"/>
      <c r="N279" s="13">
        <f>IF(COUNTA(A279:G279)=0,"",IF(L279&gt;=2,"完成","再觀察"))</f>
        <v/>
      </c>
    </row>
    <row r="280">
      <c r="A280" s="10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2" t="n"/>
      <c r="K280" s="12" t="n"/>
      <c r="L280" s="13">
        <f>COUNTIF(E280:G280,"有")+IF(H280&gt;=6,1,0)+IF(I280&gt;0,1,0)</f>
        <v/>
      </c>
      <c r="M280" s="11" t="n"/>
      <c r="N280" s="13">
        <f>IF(COUNTA(A280:G280)=0,"",IF(L280&gt;=2,"完成","再觀察"))</f>
        <v/>
      </c>
    </row>
    <row r="281">
      <c r="A281" s="10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2" t="n"/>
      <c r="K281" s="12" t="n"/>
      <c r="L281" s="13">
        <f>COUNTIF(E281:G281,"有")+IF(H281&gt;=6,1,0)+IF(I281&gt;0,1,0)</f>
        <v/>
      </c>
      <c r="M281" s="11" t="n"/>
      <c r="N281" s="13">
        <f>IF(COUNTA(A281:G281)=0,"",IF(L281&gt;=2,"完成","再觀察"))</f>
        <v/>
      </c>
    </row>
    <row r="282">
      <c r="A282" s="10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2" t="n"/>
      <c r="K282" s="12" t="n"/>
      <c r="L282" s="13">
        <f>COUNTIF(E282:G282,"有")+IF(H282&gt;=6,1,0)+IF(I282&gt;0,1,0)</f>
        <v/>
      </c>
      <c r="M282" s="11" t="n"/>
      <c r="N282" s="13">
        <f>IF(COUNTA(A282:G282)=0,"",IF(L282&gt;=2,"完成","再觀察"))</f>
        <v/>
      </c>
    </row>
    <row r="283">
      <c r="A283" s="10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2" t="n"/>
      <c r="K283" s="12" t="n"/>
      <c r="L283" s="13">
        <f>COUNTIF(E283:G283,"有")+IF(H283&gt;=6,1,0)+IF(I283&gt;0,1,0)</f>
        <v/>
      </c>
      <c r="M283" s="11" t="n"/>
      <c r="N283" s="13">
        <f>IF(COUNTA(A283:G283)=0,"",IF(L283&gt;=2,"完成","再觀察"))</f>
        <v/>
      </c>
    </row>
    <row r="284">
      <c r="A284" s="10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2" t="n"/>
      <c r="K284" s="12" t="n"/>
      <c r="L284" s="13">
        <f>COUNTIF(E284:G284,"有")+IF(H284&gt;=6,1,0)+IF(I284&gt;0,1,0)</f>
        <v/>
      </c>
      <c r="M284" s="11" t="n"/>
      <c r="N284" s="13">
        <f>IF(COUNTA(A284:G284)=0,"",IF(L284&gt;=2,"完成","再觀察"))</f>
        <v/>
      </c>
    </row>
    <row r="285">
      <c r="A285" s="10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2" t="n"/>
      <c r="K285" s="12" t="n"/>
      <c r="L285" s="13">
        <f>COUNTIF(E285:G285,"有")+IF(H285&gt;=6,1,0)+IF(I285&gt;0,1,0)</f>
        <v/>
      </c>
      <c r="M285" s="11" t="n"/>
      <c r="N285" s="13">
        <f>IF(COUNTA(A285:G285)=0,"",IF(L285&gt;=2,"完成","再觀察"))</f>
        <v/>
      </c>
    </row>
    <row r="286">
      <c r="A286" s="10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2" t="n"/>
      <c r="K286" s="12" t="n"/>
      <c r="L286" s="13">
        <f>COUNTIF(E286:G286,"有")+IF(H286&gt;=6,1,0)+IF(I286&gt;0,1,0)</f>
        <v/>
      </c>
      <c r="M286" s="11" t="n"/>
      <c r="N286" s="13">
        <f>IF(COUNTA(A286:G286)=0,"",IF(L286&gt;=2,"完成","再觀察"))</f>
        <v/>
      </c>
    </row>
    <row r="287">
      <c r="A287" s="10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2" t="n"/>
      <c r="K287" s="12" t="n"/>
      <c r="L287" s="13">
        <f>COUNTIF(E287:G287,"有")+IF(H287&gt;=6,1,0)+IF(I287&gt;0,1,0)</f>
        <v/>
      </c>
      <c r="M287" s="11" t="n"/>
      <c r="N287" s="13">
        <f>IF(COUNTA(A287:G287)=0,"",IF(L287&gt;=2,"完成","再觀察"))</f>
        <v/>
      </c>
    </row>
    <row r="288">
      <c r="A288" s="10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2" t="n"/>
      <c r="K288" s="12" t="n"/>
      <c r="L288" s="13">
        <f>COUNTIF(E288:G288,"有")+IF(H288&gt;=6,1,0)+IF(I288&gt;0,1,0)</f>
        <v/>
      </c>
      <c r="M288" s="11" t="n"/>
      <c r="N288" s="13">
        <f>IF(COUNTA(A288:G288)=0,"",IF(L288&gt;=2,"完成","再觀察"))</f>
        <v/>
      </c>
    </row>
    <row r="289">
      <c r="A289" s="10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2" t="n"/>
      <c r="K289" s="12" t="n"/>
      <c r="L289" s="13">
        <f>COUNTIF(E289:G289,"有")+IF(H289&gt;=6,1,0)+IF(I289&gt;0,1,0)</f>
        <v/>
      </c>
      <c r="M289" s="11" t="n"/>
      <c r="N289" s="13">
        <f>IF(COUNTA(A289:G289)=0,"",IF(L289&gt;=2,"完成","再觀察"))</f>
        <v/>
      </c>
    </row>
    <row r="290">
      <c r="A290" s="10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2" t="n"/>
      <c r="K290" s="12" t="n"/>
      <c r="L290" s="13">
        <f>COUNTIF(E290:G290,"有")+IF(H290&gt;=6,1,0)+IF(I290&gt;0,1,0)</f>
        <v/>
      </c>
      <c r="M290" s="11" t="n"/>
      <c r="N290" s="13">
        <f>IF(COUNTA(A290:G290)=0,"",IF(L290&gt;=2,"完成","再觀察"))</f>
        <v/>
      </c>
    </row>
    <row r="291">
      <c r="A291" s="10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2" t="n"/>
      <c r="K291" s="12" t="n"/>
      <c r="L291" s="13">
        <f>COUNTIF(E291:G291,"有")+IF(H291&gt;=6,1,0)+IF(I291&gt;0,1,0)</f>
        <v/>
      </c>
      <c r="M291" s="11" t="n"/>
      <c r="N291" s="13">
        <f>IF(COUNTA(A291:G291)=0,"",IF(L291&gt;=2,"完成","再觀察"))</f>
        <v/>
      </c>
    </row>
    <row r="292">
      <c r="A292" s="10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2" t="n"/>
      <c r="K292" s="12" t="n"/>
      <c r="L292" s="13">
        <f>COUNTIF(E292:G292,"有")+IF(H292&gt;=6,1,0)+IF(I292&gt;0,1,0)</f>
        <v/>
      </c>
      <c r="M292" s="11" t="n"/>
      <c r="N292" s="13">
        <f>IF(COUNTA(A292:G292)=0,"",IF(L292&gt;=2,"完成","再觀察"))</f>
        <v/>
      </c>
    </row>
    <row r="293">
      <c r="A293" s="10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2" t="n"/>
      <c r="K293" s="12" t="n"/>
      <c r="L293" s="13">
        <f>COUNTIF(E293:G293,"有")+IF(H293&gt;=6,1,0)+IF(I293&gt;0,1,0)</f>
        <v/>
      </c>
      <c r="M293" s="11" t="n"/>
      <c r="N293" s="13">
        <f>IF(COUNTA(A293:G293)=0,"",IF(L293&gt;=2,"完成","再觀察"))</f>
        <v/>
      </c>
    </row>
    <row r="294">
      <c r="A294" s="10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2" t="n"/>
      <c r="K294" s="12" t="n"/>
      <c r="L294" s="13">
        <f>COUNTIF(E294:G294,"有")+IF(H294&gt;=6,1,0)+IF(I294&gt;0,1,0)</f>
        <v/>
      </c>
      <c r="M294" s="11" t="n"/>
      <c r="N294" s="13">
        <f>IF(COUNTA(A294:G294)=0,"",IF(L294&gt;=2,"完成","再觀察"))</f>
        <v/>
      </c>
    </row>
    <row r="295">
      <c r="A295" s="10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2" t="n"/>
      <c r="K295" s="12" t="n"/>
      <c r="L295" s="13">
        <f>COUNTIF(E295:G295,"有")+IF(H295&gt;=6,1,0)+IF(I295&gt;0,1,0)</f>
        <v/>
      </c>
      <c r="M295" s="11" t="n"/>
      <c r="N295" s="13">
        <f>IF(COUNTA(A295:G295)=0,"",IF(L295&gt;=2,"完成","再觀察"))</f>
        <v/>
      </c>
    </row>
    <row r="296">
      <c r="A296" s="10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2" t="n"/>
      <c r="K296" s="12" t="n"/>
      <c r="L296" s="13">
        <f>COUNTIF(E296:G296,"有")+IF(H296&gt;=6,1,0)+IF(I296&gt;0,1,0)</f>
        <v/>
      </c>
      <c r="M296" s="11" t="n"/>
      <c r="N296" s="13">
        <f>IF(COUNTA(A296:G296)=0,"",IF(L296&gt;=2,"完成","再觀察"))</f>
        <v/>
      </c>
    </row>
    <row r="297">
      <c r="A297" s="10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2" t="n"/>
      <c r="K297" s="12" t="n"/>
      <c r="L297" s="13">
        <f>COUNTIF(E297:G297,"有")+IF(H297&gt;=6,1,0)+IF(I297&gt;0,1,0)</f>
        <v/>
      </c>
      <c r="M297" s="11" t="n"/>
      <c r="N297" s="13">
        <f>IF(COUNTA(A297:G297)=0,"",IF(L297&gt;=2,"完成","再觀察"))</f>
        <v/>
      </c>
    </row>
    <row r="298">
      <c r="A298" s="10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2" t="n"/>
      <c r="K298" s="12" t="n"/>
      <c r="L298" s="13">
        <f>COUNTIF(E298:G298,"有")+IF(H298&gt;=6,1,0)+IF(I298&gt;0,1,0)</f>
        <v/>
      </c>
      <c r="M298" s="11" t="n"/>
      <c r="N298" s="13">
        <f>IF(COUNTA(A298:G298)=0,"",IF(L298&gt;=2,"完成","再觀察"))</f>
        <v/>
      </c>
    </row>
    <row r="299">
      <c r="A299" s="10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2" t="n"/>
      <c r="K299" s="12" t="n"/>
      <c r="L299" s="13">
        <f>COUNTIF(E299:G299,"有")+IF(H299&gt;=6,1,0)+IF(I299&gt;0,1,0)</f>
        <v/>
      </c>
      <c r="M299" s="11" t="n"/>
      <c r="N299" s="13">
        <f>IF(COUNTA(A299:G299)=0,"",IF(L299&gt;=2,"完成","再觀察"))</f>
        <v/>
      </c>
    </row>
    <row r="300">
      <c r="A300" s="10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2" t="n"/>
      <c r="K300" s="12" t="n"/>
      <c r="L300" s="13">
        <f>COUNTIF(E300:G300,"有")+IF(H300&gt;=6,1,0)+IF(I300&gt;0,1,0)</f>
        <v/>
      </c>
      <c r="M300" s="11" t="n"/>
      <c r="N300" s="13">
        <f>IF(COUNTA(A300:G300)=0,"",IF(L300&gt;=2,"完成","再觀察"))</f>
        <v/>
      </c>
    </row>
    <row r="301">
      <c r="A301" s="10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2" t="n"/>
      <c r="K301" s="12" t="n"/>
      <c r="L301" s="13">
        <f>COUNTIF(E301:G301,"有")+IF(H301&gt;=6,1,0)+IF(I301&gt;0,1,0)</f>
        <v/>
      </c>
      <c r="M301" s="11" t="n"/>
      <c r="N301" s="13">
        <f>IF(COUNTA(A301:G301)=0,"",IF(L301&gt;=2,"完成","再觀察"))</f>
        <v/>
      </c>
    </row>
    <row r="302">
      <c r="A302" s="10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2" t="n"/>
      <c r="K302" s="12" t="n"/>
      <c r="L302" s="13">
        <f>COUNTIF(E302:G302,"有")+IF(H302&gt;=6,1,0)+IF(I302&gt;0,1,0)</f>
        <v/>
      </c>
      <c r="M302" s="11" t="n"/>
      <c r="N302" s="13">
        <f>IF(COUNTA(A302:G302)=0,"",IF(L302&gt;=2,"完成","再觀察"))</f>
        <v/>
      </c>
    </row>
    <row r="303">
      <c r="A303" s="10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2" t="n"/>
      <c r="K303" s="12" t="n"/>
      <c r="L303" s="13">
        <f>COUNTIF(E303:G303,"有")+IF(H303&gt;=6,1,0)+IF(I303&gt;0,1,0)</f>
        <v/>
      </c>
      <c r="M303" s="11" t="n"/>
      <c r="N303" s="13">
        <f>IF(COUNTA(A303:G303)=0,"",IF(L303&gt;=2,"完成","再觀察"))</f>
        <v/>
      </c>
    </row>
    <row r="304">
      <c r="A304" s="10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2" t="n"/>
      <c r="K304" s="12" t="n"/>
      <c r="L304" s="13">
        <f>COUNTIF(E304:G304,"有")+IF(H304&gt;=6,1,0)+IF(I304&gt;0,1,0)</f>
        <v/>
      </c>
      <c r="M304" s="11" t="n"/>
      <c r="N304" s="13">
        <f>IF(COUNTA(A304:G304)=0,"",IF(L304&gt;=2,"完成","再觀察"))</f>
        <v/>
      </c>
    </row>
    <row r="305">
      <c r="A305" s="10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2" t="n"/>
      <c r="K305" s="12" t="n"/>
      <c r="L305" s="13">
        <f>COUNTIF(E305:G305,"有")+IF(H305&gt;=6,1,0)+IF(I305&gt;0,1,0)</f>
        <v/>
      </c>
      <c r="M305" s="11" t="n"/>
      <c r="N305" s="13">
        <f>IF(COUNTA(A305:G305)=0,"",IF(L305&gt;=2,"完成","再觀察"))</f>
        <v/>
      </c>
    </row>
    <row r="306">
      <c r="A306" s="10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2" t="n"/>
      <c r="K306" s="12" t="n"/>
      <c r="L306" s="13">
        <f>COUNTIF(E306:G306,"有")+IF(H306&gt;=6,1,0)+IF(I306&gt;0,1,0)</f>
        <v/>
      </c>
      <c r="M306" s="11" t="n"/>
      <c r="N306" s="13">
        <f>IF(COUNTA(A306:G306)=0,"",IF(L306&gt;=2,"完成","再觀察"))</f>
        <v/>
      </c>
    </row>
    <row r="307">
      <c r="A307" s="10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2" t="n"/>
      <c r="K307" s="12" t="n"/>
      <c r="L307" s="13">
        <f>COUNTIF(E307:G307,"有")+IF(H307&gt;=6,1,0)+IF(I307&gt;0,1,0)</f>
        <v/>
      </c>
      <c r="M307" s="11" t="n"/>
      <c r="N307" s="13">
        <f>IF(COUNTA(A307:G307)=0,"",IF(L307&gt;=2,"完成","再觀察"))</f>
        <v/>
      </c>
    </row>
    <row r="308">
      <c r="A308" s="10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2" t="n"/>
      <c r="K308" s="12" t="n"/>
      <c r="L308" s="13">
        <f>COUNTIF(E308:G308,"有")+IF(H308&gt;=6,1,0)+IF(I308&gt;0,1,0)</f>
        <v/>
      </c>
      <c r="M308" s="11" t="n"/>
      <c r="N308" s="13">
        <f>IF(COUNTA(A308:G308)=0,"",IF(L308&gt;=2,"完成","再觀察"))</f>
        <v/>
      </c>
    </row>
    <row r="309">
      <c r="A309" s="10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2" t="n"/>
      <c r="K309" s="12" t="n"/>
      <c r="L309" s="13">
        <f>COUNTIF(E309:G309,"有")+IF(H309&gt;=6,1,0)+IF(I309&gt;0,1,0)</f>
        <v/>
      </c>
      <c r="M309" s="11" t="n"/>
      <c r="N309" s="13">
        <f>IF(COUNTA(A309:G309)=0,"",IF(L309&gt;=2,"完成","再觀察"))</f>
        <v/>
      </c>
    </row>
    <row r="310">
      <c r="A310" s="10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2" t="n"/>
      <c r="K310" s="12" t="n"/>
      <c r="L310" s="13">
        <f>COUNTIF(E310:G310,"有")+IF(H310&gt;=6,1,0)+IF(I310&gt;0,1,0)</f>
        <v/>
      </c>
      <c r="M310" s="11" t="n"/>
      <c r="N310" s="13">
        <f>IF(COUNTA(A310:G310)=0,"",IF(L310&gt;=2,"完成","再觀察"))</f>
        <v/>
      </c>
    </row>
    <row r="311">
      <c r="A311" s="10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2" t="n"/>
      <c r="K311" s="12" t="n"/>
      <c r="L311" s="13">
        <f>COUNTIF(E311:G311,"有")+IF(H311&gt;=6,1,0)+IF(I311&gt;0,1,0)</f>
        <v/>
      </c>
      <c r="M311" s="11" t="n"/>
      <c r="N311" s="13">
        <f>IF(COUNTA(A311:G311)=0,"",IF(L311&gt;=2,"完成","再觀察"))</f>
        <v/>
      </c>
    </row>
    <row r="312">
      <c r="A312" s="10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2" t="n"/>
      <c r="K312" s="12" t="n"/>
      <c r="L312" s="13">
        <f>COUNTIF(E312:G312,"有")+IF(H312&gt;=6,1,0)+IF(I312&gt;0,1,0)</f>
        <v/>
      </c>
      <c r="M312" s="11" t="n"/>
      <c r="N312" s="13">
        <f>IF(COUNTA(A312:G312)=0,"",IF(L312&gt;=2,"完成","再觀察"))</f>
        <v/>
      </c>
    </row>
    <row r="313">
      <c r="A313" s="10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2" t="n"/>
      <c r="K313" s="12" t="n"/>
      <c r="L313" s="13">
        <f>COUNTIF(E313:G313,"有")+IF(H313&gt;=6,1,0)+IF(I313&gt;0,1,0)</f>
        <v/>
      </c>
      <c r="M313" s="11" t="n"/>
      <c r="N313" s="13">
        <f>IF(COUNTA(A313:G313)=0,"",IF(L313&gt;=2,"完成","再觀察"))</f>
        <v/>
      </c>
    </row>
    <row r="314">
      <c r="A314" s="10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2" t="n"/>
      <c r="K314" s="12" t="n"/>
      <c r="L314" s="13">
        <f>COUNTIF(E314:G314,"有")+IF(H314&gt;=6,1,0)+IF(I314&gt;0,1,0)</f>
        <v/>
      </c>
      <c r="M314" s="11" t="n"/>
      <c r="N314" s="13">
        <f>IF(COUNTA(A314:G314)=0,"",IF(L314&gt;=2,"完成","再觀察"))</f>
        <v/>
      </c>
    </row>
    <row r="315">
      <c r="A315" s="10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2" t="n"/>
      <c r="K315" s="12" t="n"/>
      <c r="L315" s="13">
        <f>COUNTIF(E315:G315,"有")+IF(H315&gt;=6,1,0)+IF(I315&gt;0,1,0)</f>
        <v/>
      </c>
      <c r="M315" s="11" t="n"/>
      <c r="N315" s="13">
        <f>IF(COUNTA(A315:G315)=0,"",IF(L315&gt;=2,"完成","再觀察"))</f>
        <v/>
      </c>
    </row>
    <row r="316">
      <c r="A316" s="10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2" t="n"/>
      <c r="K316" s="12" t="n"/>
      <c r="L316" s="13">
        <f>COUNTIF(E316:G316,"有")+IF(H316&gt;=6,1,0)+IF(I316&gt;0,1,0)</f>
        <v/>
      </c>
      <c r="M316" s="11" t="n"/>
      <c r="N316" s="13">
        <f>IF(COUNTA(A316:G316)=0,"",IF(L316&gt;=2,"完成","再觀察"))</f>
        <v/>
      </c>
    </row>
    <row r="317">
      <c r="A317" s="10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2" t="n"/>
      <c r="K317" s="12" t="n"/>
      <c r="L317" s="13">
        <f>COUNTIF(E317:G317,"有")+IF(H317&gt;=6,1,0)+IF(I317&gt;0,1,0)</f>
        <v/>
      </c>
      <c r="M317" s="11" t="n"/>
      <c r="N317" s="13">
        <f>IF(COUNTA(A317:G317)=0,"",IF(L317&gt;=2,"完成","再觀察"))</f>
        <v/>
      </c>
    </row>
    <row r="318">
      <c r="A318" s="10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2" t="n"/>
      <c r="K318" s="12" t="n"/>
      <c r="L318" s="13">
        <f>COUNTIF(E318:G318,"有")+IF(H318&gt;=6,1,0)+IF(I318&gt;0,1,0)</f>
        <v/>
      </c>
      <c r="M318" s="11" t="n"/>
      <c r="N318" s="13">
        <f>IF(COUNTA(A318:G318)=0,"",IF(L318&gt;=2,"完成","再觀察"))</f>
        <v/>
      </c>
    </row>
    <row r="319">
      <c r="A319" s="10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2" t="n"/>
      <c r="K319" s="12" t="n"/>
      <c r="L319" s="13">
        <f>COUNTIF(E319:G319,"有")+IF(H319&gt;=6,1,0)+IF(I319&gt;0,1,0)</f>
        <v/>
      </c>
      <c r="M319" s="11" t="n"/>
      <c r="N319" s="13">
        <f>IF(COUNTA(A319:G319)=0,"",IF(L319&gt;=2,"完成","再觀察"))</f>
        <v/>
      </c>
    </row>
    <row r="320">
      <c r="A320" s="10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2" t="n"/>
      <c r="K320" s="12" t="n"/>
      <c r="L320" s="13">
        <f>COUNTIF(E320:G320,"有")+IF(H320&gt;=6,1,0)+IF(I320&gt;0,1,0)</f>
        <v/>
      </c>
      <c r="M320" s="11" t="n"/>
      <c r="N320" s="13">
        <f>IF(COUNTA(A320:G320)=0,"",IF(L320&gt;=2,"完成","再觀察"))</f>
        <v/>
      </c>
    </row>
    <row r="321">
      <c r="A321" s="10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2" t="n"/>
      <c r="K321" s="12" t="n"/>
      <c r="L321" s="13">
        <f>COUNTIF(E321:G321,"有")+IF(H321&gt;=6,1,0)+IF(I321&gt;0,1,0)</f>
        <v/>
      </c>
      <c r="M321" s="11" t="n"/>
      <c r="N321" s="13">
        <f>IF(COUNTA(A321:G321)=0,"",IF(L321&gt;=2,"完成","再觀察"))</f>
        <v/>
      </c>
    </row>
    <row r="322">
      <c r="A322" s="10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2" t="n"/>
      <c r="K322" s="12" t="n"/>
      <c r="L322" s="13">
        <f>COUNTIF(E322:G322,"有")+IF(H322&gt;=6,1,0)+IF(I322&gt;0,1,0)</f>
        <v/>
      </c>
      <c r="M322" s="11" t="n"/>
      <c r="N322" s="13">
        <f>IF(COUNTA(A322:G322)=0,"",IF(L322&gt;=2,"完成","再觀察"))</f>
        <v/>
      </c>
    </row>
    <row r="323">
      <c r="A323" s="10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2" t="n"/>
      <c r="K323" s="12" t="n"/>
      <c r="L323" s="13">
        <f>COUNTIF(E323:G323,"有")+IF(H323&gt;=6,1,0)+IF(I323&gt;0,1,0)</f>
        <v/>
      </c>
      <c r="M323" s="11" t="n"/>
      <c r="N323" s="13">
        <f>IF(COUNTA(A323:G323)=0,"",IF(L323&gt;=2,"完成","再觀察"))</f>
        <v/>
      </c>
    </row>
    <row r="324">
      <c r="A324" s="10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2" t="n"/>
      <c r="K324" s="12" t="n"/>
      <c r="L324" s="13">
        <f>COUNTIF(E324:G324,"有")+IF(H324&gt;=6,1,0)+IF(I324&gt;0,1,0)</f>
        <v/>
      </c>
      <c r="M324" s="11" t="n"/>
      <c r="N324" s="13">
        <f>IF(COUNTA(A324:G324)=0,"",IF(L324&gt;=2,"完成","再觀察"))</f>
        <v/>
      </c>
    </row>
    <row r="325">
      <c r="A325" s="10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2" t="n"/>
      <c r="K325" s="12" t="n"/>
      <c r="L325" s="13">
        <f>COUNTIF(E325:G325,"有")+IF(H325&gt;=6,1,0)+IF(I325&gt;0,1,0)</f>
        <v/>
      </c>
      <c r="M325" s="11" t="n"/>
      <c r="N325" s="13">
        <f>IF(COUNTA(A325:G325)=0,"",IF(L325&gt;=2,"完成","再觀察"))</f>
        <v/>
      </c>
    </row>
    <row r="326">
      <c r="A326" s="10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2" t="n"/>
      <c r="K326" s="12" t="n"/>
      <c r="L326" s="13">
        <f>COUNTIF(E326:G326,"有")+IF(H326&gt;=6,1,0)+IF(I326&gt;0,1,0)</f>
        <v/>
      </c>
      <c r="M326" s="11" t="n"/>
      <c r="N326" s="13">
        <f>IF(COUNTA(A326:G326)=0,"",IF(L326&gt;=2,"完成","再觀察"))</f>
        <v/>
      </c>
    </row>
    <row r="327">
      <c r="A327" s="10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2" t="n"/>
      <c r="K327" s="12" t="n"/>
      <c r="L327" s="13">
        <f>COUNTIF(E327:G327,"有")+IF(H327&gt;=6,1,0)+IF(I327&gt;0,1,0)</f>
        <v/>
      </c>
      <c r="M327" s="11" t="n"/>
      <c r="N327" s="13">
        <f>IF(COUNTA(A327:G327)=0,"",IF(L327&gt;=2,"完成","再觀察"))</f>
        <v/>
      </c>
    </row>
    <row r="328">
      <c r="A328" s="10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2" t="n"/>
      <c r="K328" s="12" t="n"/>
      <c r="L328" s="13">
        <f>COUNTIF(E328:G328,"有")+IF(H328&gt;=6,1,0)+IF(I328&gt;0,1,0)</f>
        <v/>
      </c>
      <c r="M328" s="11" t="n"/>
      <c r="N328" s="13">
        <f>IF(COUNTA(A328:G328)=0,"",IF(L328&gt;=2,"完成","再觀察"))</f>
        <v/>
      </c>
    </row>
    <row r="329">
      <c r="A329" s="10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2" t="n"/>
      <c r="K329" s="12" t="n"/>
      <c r="L329" s="13">
        <f>COUNTIF(E329:G329,"有")+IF(H329&gt;=6,1,0)+IF(I329&gt;0,1,0)</f>
        <v/>
      </c>
      <c r="M329" s="11" t="n"/>
      <c r="N329" s="13">
        <f>IF(COUNTA(A329:G329)=0,"",IF(L329&gt;=2,"完成","再觀察"))</f>
        <v/>
      </c>
    </row>
    <row r="330">
      <c r="A330" s="10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2" t="n"/>
      <c r="K330" s="12" t="n"/>
      <c r="L330" s="13">
        <f>COUNTIF(E330:G330,"有")+IF(H330&gt;=6,1,0)+IF(I330&gt;0,1,0)</f>
        <v/>
      </c>
      <c r="M330" s="11" t="n"/>
      <c r="N330" s="13">
        <f>IF(COUNTA(A330:G330)=0,"",IF(L330&gt;=2,"完成","再觀察"))</f>
        <v/>
      </c>
    </row>
    <row r="331">
      <c r="A331" s="10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2" t="n"/>
      <c r="K331" s="12" t="n"/>
      <c r="L331" s="13">
        <f>COUNTIF(E331:G331,"有")+IF(H331&gt;=6,1,0)+IF(I331&gt;0,1,0)</f>
        <v/>
      </c>
      <c r="M331" s="11" t="n"/>
      <c r="N331" s="13">
        <f>IF(COUNTA(A331:G331)=0,"",IF(L331&gt;=2,"完成","再觀察"))</f>
        <v/>
      </c>
    </row>
    <row r="332">
      <c r="A332" s="10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2" t="n"/>
      <c r="K332" s="12" t="n"/>
      <c r="L332" s="13">
        <f>COUNTIF(E332:G332,"有")+IF(H332&gt;=6,1,0)+IF(I332&gt;0,1,0)</f>
        <v/>
      </c>
      <c r="M332" s="11" t="n"/>
      <c r="N332" s="13">
        <f>IF(COUNTA(A332:G332)=0,"",IF(L332&gt;=2,"完成","再觀察"))</f>
        <v/>
      </c>
    </row>
    <row r="333">
      <c r="A333" s="10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2" t="n"/>
      <c r="K333" s="12" t="n"/>
      <c r="L333" s="13">
        <f>COUNTIF(E333:G333,"有")+IF(H333&gt;=6,1,0)+IF(I333&gt;0,1,0)</f>
        <v/>
      </c>
      <c r="M333" s="11" t="n"/>
      <c r="N333" s="13">
        <f>IF(COUNTA(A333:G333)=0,"",IF(L333&gt;=2,"完成","再觀察"))</f>
        <v/>
      </c>
    </row>
    <row r="334">
      <c r="A334" s="10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2" t="n"/>
      <c r="K334" s="12" t="n"/>
      <c r="L334" s="13">
        <f>COUNTIF(E334:G334,"有")+IF(H334&gt;=6,1,0)+IF(I334&gt;0,1,0)</f>
        <v/>
      </c>
      <c r="M334" s="11" t="n"/>
      <c r="N334" s="13">
        <f>IF(COUNTA(A334:G334)=0,"",IF(L334&gt;=2,"完成","再觀察"))</f>
        <v/>
      </c>
    </row>
    <row r="335">
      <c r="A335" s="10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2" t="n"/>
      <c r="K335" s="12" t="n"/>
      <c r="L335" s="13">
        <f>COUNTIF(E335:G335,"有")+IF(H335&gt;=6,1,0)+IF(I335&gt;0,1,0)</f>
        <v/>
      </c>
      <c r="M335" s="11" t="n"/>
      <c r="N335" s="13">
        <f>IF(COUNTA(A335:G335)=0,"",IF(L335&gt;=2,"完成","再觀察"))</f>
        <v/>
      </c>
    </row>
    <row r="336">
      <c r="A336" s="10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2" t="n"/>
      <c r="K336" s="12" t="n"/>
      <c r="L336" s="13">
        <f>COUNTIF(E336:G336,"有")+IF(H336&gt;=6,1,0)+IF(I336&gt;0,1,0)</f>
        <v/>
      </c>
      <c r="M336" s="11" t="n"/>
      <c r="N336" s="13">
        <f>IF(COUNTA(A336:G336)=0,"",IF(L336&gt;=2,"完成","再觀察"))</f>
        <v/>
      </c>
    </row>
    <row r="337">
      <c r="A337" s="10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2" t="n"/>
      <c r="K337" s="12" t="n"/>
      <c r="L337" s="13">
        <f>COUNTIF(E337:G337,"有")+IF(H337&gt;=6,1,0)+IF(I337&gt;0,1,0)</f>
        <v/>
      </c>
      <c r="M337" s="11" t="n"/>
      <c r="N337" s="13">
        <f>IF(COUNTA(A337:G337)=0,"",IF(L337&gt;=2,"完成","再觀察"))</f>
        <v/>
      </c>
    </row>
    <row r="338">
      <c r="A338" s="10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2" t="n"/>
      <c r="K338" s="12" t="n"/>
      <c r="L338" s="13">
        <f>COUNTIF(E338:G338,"有")+IF(H338&gt;=6,1,0)+IF(I338&gt;0,1,0)</f>
        <v/>
      </c>
      <c r="M338" s="11" t="n"/>
      <c r="N338" s="13">
        <f>IF(COUNTA(A338:G338)=0,"",IF(L338&gt;=2,"完成","再觀察"))</f>
        <v/>
      </c>
    </row>
    <row r="339">
      <c r="A339" s="10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2" t="n"/>
      <c r="K339" s="12" t="n"/>
      <c r="L339" s="13">
        <f>COUNTIF(E339:G339,"有")+IF(H339&gt;=6,1,0)+IF(I339&gt;0,1,0)</f>
        <v/>
      </c>
      <c r="M339" s="11" t="n"/>
      <c r="N339" s="13">
        <f>IF(COUNTA(A339:G339)=0,"",IF(L339&gt;=2,"完成","再觀察"))</f>
        <v/>
      </c>
    </row>
    <row r="340">
      <c r="A340" s="10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2" t="n"/>
      <c r="K340" s="12" t="n"/>
      <c r="L340" s="13">
        <f>COUNTIF(E340:G340,"有")+IF(H340&gt;=6,1,0)+IF(I340&gt;0,1,0)</f>
        <v/>
      </c>
      <c r="M340" s="11" t="n"/>
      <c r="N340" s="13">
        <f>IF(COUNTA(A340:G340)=0,"",IF(L340&gt;=2,"完成","再觀察"))</f>
        <v/>
      </c>
    </row>
    <row r="341">
      <c r="A341" s="10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2" t="n"/>
      <c r="K341" s="12" t="n"/>
      <c r="L341" s="13">
        <f>COUNTIF(E341:G341,"有")+IF(H341&gt;=6,1,0)+IF(I341&gt;0,1,0)</f>
        <v/>
      </c>
      <c r="M341" s="11" t="n"/>
      <c r="N341" s="13">
        <f>IF(COUNTA(A341:G341)=0,"",IF(L341&gt;=2,"完成","再觀察"))</f>
        <v/>
      </c>
    </row>
    <row r="342">
      <c r="A342" s="10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2" t="n"/>
      <c r="K342" s="12" t="n"/>
      <c r="L342" s="13">
        <f>COUNTIF(E342:G342,"有")+IF(H342&gt;=6,1,0)+IF(I342&gt;0,1,0)</f>
        <v/>
      </c>
      <c r="M342" s="11" t="n"/>
      <c r="N342" s="13">
        <f>IF(COUNTA(A342:G342)=0,"",IF(L342&gt;=2,"完成","再觀察"))</f>
        <v/>
      </c>
    </row>
    <row r="343">
      <c r="A343" s="10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2" t="n"/>
      <c r="K343" s="12" t="n"/>
      <c r="L343" s="13">
        <f>COUNTIF(E343:G343,"有")+IF(H343&gt;=6,1,0)+IF(I343&gt;0,1,0)</f>
        <v/>
      </c>
      <c r="M343" s="11" t="n"/>
      <c r="N343" s="13">
        <f>IF(COUNTA(A343:G343)=0,"",IF(L343&gt;=2,"完成","再觀察"))</f>
        <v/>
      </c>
    </row>
    <row r="344">
      <c r="A344" s="10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2" t="n"/>
      <c r="K344" s="12" t="n"/>
      <c r="L344" s="13">
        <f>COUNTIF(E344:G344,"有")+IF(H344&gt;=6,1,0)+IF(I344&gt;0,1,0)</f>
        <v/>
      </c>
      <c r="M344" s="11" t="n"/>
      <c r="N344" s="13">
        <f>IF(COUNTA(A344:G344)=0,"",IF(L344&gt;=2,"完成","再觀察"))</f>
        <v/>
      </c>
    </row>
    <row r="345">
      <c r="A345" s="10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2" t="n"/>
      <c r="K345" s="12" t="n"/>
      <c r="L345" s="13">
        <f>COUNTIF(E345:G345,"有")+IF(H345&gt;=6,1,0)+IF(I345&gt;0,1,0)</f>
        <v/>
      </c>
      <c r="M345" s="11" t="n"/>
      <c r="N345" s="13">
        <f>IF(COUNTA(A345:G345)=0,"",IF(L345&gt;=2,"完成","再觀察"))</f>
        <v/>
      </c>
    </row>
    <row r="346">
      <c r="A346" s="10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2" t="n"/>
      <c r="K346" s="12" t="n"/>
      <c r="L346" s="13">
        <f>COUNTIF(E346:G346,"有")+IF(H346&gt;=6,1,0)+IF(I346&gt;0,1,0)</f>
        <v/>
      </c>
      <c r="M346" s="11" t="n"/>
      <c r="N346" s="13">
        <f>IF(COUNTA(A346:G346)=0,"",IF(L346&gt;=2,"完成","再觀察"))</f>
        <v/>
      </c>
    </row>
    <row r="347">
      <c r="A347" s="10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2" t="n"/>
      <c r="K347" s="12" t="n"/>
      <c r="L347" s="13">
        <f>COUNTIF(E347:G347,"有")+IF(H347&gt;=6,1,0)+IF(I347&gt;0,1,0)</f>
        <v/>
      </c>
      <c r="M347" s="11" t="n"/>
      <c r="N347" s="13">
        <f>IF(COUNTA(A347:G347)=0,"",IF(L347&gt;=2,"完成","再觀察"))</f>
        <v/>
      </c>
    </row>
    <row r="348">
      <c r="A348" s="10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2" t="n"/>
      <c r="K348" s="12" t="n"/>
      <c r="L348" s="13">
        <f>COUNTIF(E348:G348,"有")+IF(H348&gt;=6,1,0)+IF(I348&gt;0,1,0)</f>
        <v/>
      </c>
      <c r="M348" s="11" t="n"/>
      <c r="N348" s="13">
        <f>IF(COUNTA(A348:G348)=0,"",IF(L348&gt;=2,"完成","再觀察"))</f>
        <v/>
      </c>
    </row>
    <row r="349">
      <c r="A349" s="10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2" t="n"/>
      <c r="K349" s="12" t="n"/>
      <c r="L349" s="13">
        <f>COUNTIF(E349:G349,"有")+IF(H349&gt;=6,1,0)+IF(I349&gt;0,1,0)</f>
        <v/>
      </c>
      <c r="M349" s="11" t="n"/>
      <c r="N349" s="13">
        <f>IF(COUNTA(A349:G349)=0,"",IF(L349&gt;=2,"完成","再觀察"))</f>
        <v/>
      </c>
    </row>
    <row r="350">
      <c r="A350" s="10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2" t="n"/>
      <c r="K350" s="12" t="n"/>
      <c r="L350" s="13">
        <f>COUNTIF(E350:G350,"有")+IF(H350&gt;=6,1,0)+IF(I350&gt;0,1,0)</f>
        <v/>
      </c>
      <c r="M350" s="11" t="n"/>
      <c r="N350" s="13">
        <f>IF(COUNTA(A350:G350)=0,"",IF(L350&gt;=2,"完成","再觀察"))</f>
        <v/>
      </c>
    </row>
    <row r="351">
      <c r="A351" s="10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2" t="n"/>
      <c r="K351" s="12" t="n"/>
      <c r="L351" s="13">
        <f>COUNTIF(E351:G351,"有")+IF(H351&gt;=6,1,0)+IF(I351&gt;0,1,0)</f>
        <v/>
      </c>
      <c r="M351" s="11" t="n"/>
      <c r="N351" s="13">
        <f>IF(COUNTA(A351:G351)=0,"",IF(L351&gt;=2,"完成","再觀察"))</f>
        <v/>
      </c>
    </row>
    <row r="352">
      <c r="A352" s="10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2" t="n"/>
      <c r="K352" s="12" t="n"/>
      <c r="L352" s="13">
        <f>COUNTIF(E352:G352,"有")+IF(H352&gt;=6,1,0)+IF(I352&gt;0,1,0)</f>
        <v/>
      </c>
      <c r="M352" s="11" t="n"/>
      <c r="N352" s="13">
        <f>IF(COUNTA(A352:G352)=0,"",IF(L352&gt;=2,"完成","再觀察"))</f>
        <v/>
      </c>
    </row>
    <row r="353">
      <c r="A353" s="10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2" t="n"/>
      <c r="K353" s="12" t="n"/>
      <c r="L353" s="13">
        <f>COUNTIF(E353:G353,"有")+IF(H353&gt;=6,1,0)+IF(I353&gt;0,1,0)</f>
        <v/>
      </c>
      <c r="M353" s="11" t="n"/>
      <c r="N353" s="13">
        <f>IF(COUNTA(A353:G353)=0,"",IF(L353&gt;=2,"完成","再觀察"))</f>
        <v/>
      </c>
    </row>
    <row r="354">
      <c r="A354" s="10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2" t="n"/>
      <c r="K354" s="12" t="n"/>
      <c r="L354" s="13">
        <f>COUNTIF(E354:G354,"有")+IF(H354&gt;=6,1,0)+IF(I354&gt;0,1,0)</f>
        <v/>
      </c>
      <c r="M354" s="11" t="n"/>
      <c r="N354" s="13">
        <f>IF(COUNTA(A354:G354)=0,"",IF(L354&gt;=2,"完成","再觀察"))</f>
        <v/>
      </c>
    </row>
    <row r="355">
      <c r="A355" s="10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2" t="n"/>
      <c r="K355" s="12" t="n"/>
      <c r="L355" s="13">
        <f>COUNTIF(E355:G355,"有")+IF(H355&gt;=6,1,0)+IF(I355&gt;0,1,0)</f>
        <v/>
      </c>
      <c r="M355" s="11" t="n"/>
      <c r="N355" s="13">
        <f>IF(COUNTA(A355:G355)=0,"",IF(L355&gt;=2,"完成","再觀察"))</f>
        <v/>
      </c>
    </row>
    <row r="356">
      <c r="A356" s="10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2" t="n"/>
      <c r="K356" s="12" t="n"/>
      <c r="L356" s="13">
        <f>COUNTIF(E356:G356,"有")+IF(H356&gt;=6,1,0)+IF(I356&gt;0,1,0)</f>
        <v/>
      </c>
      <c r="M356" s="11" t="n"/>
      <c r="N356" s="13">
        <f>IF(COUNTA(A356:G356)=0,"",IF(L356&gt;=2,"完成","再觀察"))</f>
        <v/>
      </c>
    </row>
    <row r="357">
      <c r="A357" s="10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2" t="n"/>
      <c r="K357" s="12" t="n"/>
      <c r="L357" s="13">
        <f>COUNTIF(E357:G357,"有")+IF(H357&gt;=6,1,0)+IF(I357&gt;0,1,0)</f>
        <v/>
      </c>
      <c r="M357" s="11" t="n"/>
      <c r="N357" s="13">
        <f>IF(COUNTA(A357:G357)=0,"",IF(L357&gt;=2,"完成","再觀察"))</f>
        <v/>
      </c>
    </row>
    <row r="358">
      <c r="A358" s="10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2" t="n"/>
      <c r="K358" s="12" t="n"/>
      <c r="L358" s="13">
        <f>COUNTIF(E358:G358,"有")+IF(H358&gt;=6,1,0)+IF(I358&gt;0,1,0)</f>
        <v/>
      </c>
      <c r="M358" s="11" t="n"/>
      <c r="N358" s="13">
        <f>IF(COUNTA(A358:G358)=0,"",IF(L358&gt;=2,"完成","再觀察"))</f>
        <v/>
      </c>
    </row>
    <row r="359">
      <c r="A359" s="10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2" t="n"/>
      <c r="K359" s="12" t="n"/>
      <c r="L359" s="13">
        <f>COUNTIF(E359:G359,"有")+IF(H359&gt;=6,1,0)+IF(I359&gt;0,1,0)</f>
        <v/>
      </c>
      <c r="M359" s="11" t="n"/>
      <c r="N359" s="13">
        <f>IF(COUNTA(A359:G359)=0,"",IF(L359&gt;=2,"完成","再觀察"))</f>
        <v/>
      </c>
    </row>
    <row r="360">
      <c r="A360" s="10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2" t="n"/>
      <c r="K360" s="12" t="n"/>
      <c r="L360" s="13">
        <f>COUNTIF(E360:G360,"有")+IF(H360&gt;=6,1,0)+IF(I360&gt;0,1,0)</f>
        <v/>
      </c>
      <c r="M360" s="11" t="n"/>
      <c r="N360" s="13">
        <f>IF(COUNTA(A360:G360)=0,"",IF(L360&gt;=2,"完成","再觀察"))</f>
        <v/>
      </c>
    </row>
    <row r="361">
      <c r="A361" s="10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2" t="n"/>
      <c r="K361" s="12" t="n"/>
      <c r="L361" s="13">
        <f>COUNTIF(E361:G361,"有")+IF(H361&gt;=6,1,0)+IF(I361&gt;0,1,0)</f>
        <v/>
      </c>
      <c r="M361" s="11" t="n"/>
      <c r="N361" s="13">
        <f>IF(COUNTA(A361:G361)=0,"",IF(L361&gt;=2,"完成","再觀察"))</f>
        <v/>
      </c>
    </row>
    <row r="362">
      <c r="A362" s="10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2" t="n"/>
      <c r="K362" s="12" t="n"/>
      <c r="L362" s="13">
        <f>COUNTIF(E362:G362,"有")+IF(H362&gt;=6,1,0)+IF(I362&gt;0,1,0)</f>
        <v/>
      </c>
      <c r="M362" s="11" t="n"/>
      <c r="N362" s="13">
        <f>IF(COUNTA(A362:G362)=0,"",IF(L362&gt;=2,"完成","再觀察"))</f>
        <v/>
      </c>
    </row>
    <row r="363">
      <c r="A363" s="10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2" t="n"/>
      <c r="K363" s="12" t="n"/>
      <c r="L363" s="13">
        <f>COUNTIF(E363:G363,"有")+IF(H363&gt;=6,1,0)+IF(I363&gt;0,1,0)</f>
        <v/>
      </c>
      <c r="M363" s="11" t="n"/>
      <c r="N363" s="13">
        <f>IF(COUNTA(A363:G363)=0,"",IF(L363&gt;=2,"完成","再觀察"))</f>
        <v/>
      </c>
    </row>
    <row r="364">
      <c r="A364" s="10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2" t="n"/>
      <c r="K364" s="12" t="n"/>
      <c r="L364" s="13">
        <f>COUNTIF(E364:G364,"有")+IF(H364&gt;=6,1,0)+IF(I364&gt;0,1,0)</f>
        <v/>
      </c>
      <c r="M364" s="11" t="n"/>
      <c r="N364" s="13">
        <f>IF(COUNTA(A364:G364)=0,"",IF(L364&gt;=2,"完成","再觀察"))</f>
        <v/>
      </c>
    </row>
    <row r="365">
      <c r="A365" s="10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2" t="n"/>
      <c r="K365" s="12" t="n"/>
      <c r="L365" s="13">
        <f>COUNTIF(E365:G365,"有")+IF(H365&gt;=6,1,0)+IF(I365&gt;0,1,0)</f>
        <v/>
      </c>
      <c r="M365" s="11" t="n"/>
      <c r="N365" s="13">
        <f>IF(COUNTA(A365:G365)=0,"",IF(L365&gt;=2,"完成","再觀察"))</f>
        <v/>
      </c>
    </row>
    <row r="366">
      <c r="A366" s="10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2" t="n"/>
      <c r="K366" s="12" t="n"/>
      <c r="L366" s="13">
        <f>COUNTIF(E366:G366,"有")+IF(H366&gt;=6,1,0)+IF(I366&gt;0,1,0)</f>
        <v/>
      </c>
      <c r="M366" s="11" t="n"/>
      <c r="N366" s="13">
        <f>IF(COUNTA(A366:G366)=0,"",IF(L366&gt;=2,"完成","再觀察"))</f>
        <v/>
      </c>
    </row>
    <row r="367">
      <c r="A367" s="10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2" t="n"/>
      <c r="K367" s="12" t="n"/>
      <c r="L367" s="13">
        <f>COUNTIF(E367:G367,"有")+IF(H367&gt;=6,1,0)+IF(I367&gt;0,1,0)</f>
        <v/>
      </c>
      <c r="M367" s="11" t="n"/>
      <c r="N367" s="13">
        <f>IF(COUNTA(A367:G367)=0,"",IF(L367&gt;=2,"完成","再觀察"))</f>
        <v/>
      </c>
    </row>
    <row r="368">
      <c r="A368" s="10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2" t="n"/>
      <c r="K368" s="12" t="n"/>
      <c r="L368" s="13">
        <f>COUNTIF(E368:G368,"有")+IF(H368&gt;=6,1,0)+IF(I368&gt;0,1,0)</f>
        <v/>
      </c>
      <c r="M368" s="11" t="n"/>
      <c r="N368" s="13">
        <f>IF(COUNTA(A368:G368)=0,"",IF(L368&gt;=2,"完成","再觀察"))</f>
        <v/>
      </c>
    </row>
    <row r="369">
      <c r="A369" s="10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2" t="n"/>
      <c r="K369" s="12" t="n"/>
      <c r="L369" s="13">
        <f>COUNTIF(E369:G369,"有")+IF(H369&gt;=6,1,0)+IF(I369&gt;0,1,0)</f>
        <v/>
      </c>
      <c r="M369" s="11" t="n"/>
      <c r="N369" s="13">
        <f>IF(COUNTA(A369:G369)=0,"",IF(L369&gt;=2,"完成","再觀察"))</f>
        <v/>
      </c>
    </row>
  </sheetData>
  <autoFilter ref="A4:N369"/>
  <mergeCells count="2">
    <mergeCell ref="A2:N2"/>
    <mergeCell ref="A1:N1"/>
  </mergeCells>
  <conditionalFormatting sqref="L5:L204">
    <cfRule type="colorScale" priority="1">
      <colorScale>
        <cfvo type="min"/>
        <cfvo type="max"/>
        <color rgb="00F3B49B"/>
        <color rgb="00B7D6A8"/>
      </colorScale>
    </cfRule>
  </conditionalFormatting>
  <dataValidations count="4">
    <dataValidation sqref="B5:B204" showDropDown="0" showInputMessage="0" showErrorMessage="0" allowBlank="1" type="list">
      <formula1>"早餐,午餐,晚餐,點心"</formula1>
    </dataValidation>
    <dataValidation sqref="C5:C204" showDropDown="0" showInputMessage="0" showErrorMessage="0" allowBlank="1" type="list">
      <formula1>"超商,便當店,早餐店,自助餐,速食店,外送,其他"</formula1>
    </dataValidation>
    <dataValidation sqref="E5:F204" showDropDown="0" showInputMessage="0" showErrorMessage="0" allowBlank="1" type="list">
      <formula1>"有,沒有,不確定"</formula1>
    </dataValidation>
    <dataValidation sqref="G5:G204" showDropDown="0" showInputMessage="0" showErrorMessage="0" allowBlank="1" type="list">
      <formula1>"水,無糖,微糖,含糖,未記錄"</formula1>
    </dataValidation>
  </dataValidations>
  <pageMargins left="0.25" right="0.25" top="0.4" bottom="0.4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E2EADC"/>
    <outlinePr summaryBelow="1" summaryRight="1"/>
    <pageSetUpPr fitToPage="1"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8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外食選擇指南</t>
        </is>
      </c>
    </row>
    <row r="2">
      <c r="A2" s="9" t="inlineStr">
        <is>
          <t>先選蛋白質，再補蔬菜；不用每一餐都做到一百分。</t>
        </is>
      </c>
    </row>
    <row r="4">
      <c r="A4" s="3" t="inlineStr">
        <is>
          <t>情境</t>
        </is>
      </c>
      <c r="B4" s="3" t="inlineStr">
        <is>
          <t>先找什麼</t>
        </is>
      </c>
      <c r="C4" s="3" t="inlineStr">
        <is>
          <t>可以怎麼搭</t>
        </is>
      </c>
      <c r="D4" s="3" t="inlineStr">
        <is>
          <t>飲料方向</t>
        </is>
      </c>
      <c r="E4" s="3" t="inlineStr">
        <is>
          <t>記錄重點</t>
        </is>
      </c>
      <c r="F4" s="3" t="inlineStr">
        <is>
          <t>替代選擇</t>
        </is>
      </c>
      <c r="G4" s="3" t="inlineStr">
        <is>
          <t>提醒</t>
        </is>
      </c>
    </row>
    <row r="5">
      <c r="A5" s="13" t="inlineStr">
        <is>
          <t>超商</t>
        </is>
      </c>
      <c r="B5" s="13" t="inlineStr">
        <is>
          <t>茶葉蛋／雞胸／無糖豆漿</t>
        </is>
      </c>
      <c r="C5" s="13" t="inlineStr">
        <is>
          <t>蛋白質＋沙拉或水果</t>
        </is>
      </c>
      <c r="D5" s="13" t="inlineStr">
        <is>
          <t>水／無糖茶</t>
        </is>
      </c>
      <c r="E5" s="13" t="inlineStr">
        <is>
          <t>記下品項即可</t>
        </is>
      </c>
      <c r="F5" s="13" t="inlineStr">
        <is>
          <t>飯糰＋茶葉蛋</t>
        </is>
      </c>
      <c r="G5" s="13" t="inlineStr">
        <is>
          <t>看整天，不用只看一餐</t>
        </is>
      </c>
    </row>
    <row r="6">
      <c r="A6" s="13" t="inlineStr">
        <is>
          <t>便當店</t>
        </is>
      </c>
      <c r="B6" s="13" t="inlineStr">
        <is>
          <t>雞、魚、豆腐</t>
        </is>
      </c>
      <c r="C6" s="13" t="inlineStr">
        <is>
          <t>主菜＋兩樣菜，飯量依需求</t>
        </is>
      </c>
      <c r="D6" s="13" t="inlineStr">
        <is>
          <t>水／無糖茶</t>
        </is>
      </c>
      <c r="E6" s="13" t="inlineStr">
        <is>
          <t>記主菜與配菜</t>
        </is>
      </c>
      <c r="F6" s="13" t="inlineStr">
        <is>
          <t>自助餐搭配</t>
        </is>
      </c>
      <c r="G6" s="13" t="inlineStr">
        <is>
          <t>喜歡的菜也可以保留</t>
        </is>
      </c>
    </row>
    <row r="7">
      <c r="A7" s="13" t="inlineStr">
        <is>
          <t>早餐店</t>
        </is>
      </c>
      <c r="B7" s="13" t="inlineStr">
        <is>
          <t>蛋／里肌／無糖豆漿</t>
        </is>
      </c>
      <c r="C7" s="13" t="inlineStr">
        <is>
          <t>主食＋蛋白質</t>
        </is>
      </c>
      <c r="D7" s="13" t="inlineStr">
        <is>
          <t>無糖豆漿／茶</t>
        </is>
      </c>
      <c r="E7" s="13" t="inlineStr">
        <is>
          <t>記餐點與飲料</t>
        </is>
      </c>
      <c r="F7" s="13" t="inlineStr">
        <is>
          <t>蛋餅加蛋</t>
        </is>
      </c>
      <c r="G7" s="13" t="inlineStr">
        <is>
          <t>不用跳過早餐</t>
        </is>
      </c>
    </row>
    <row r="8">
      <c r="A8" s="13" t="inlineStr">
        <is>
          <t>自助餐</t>
        </is>
      </c>
      <c r="B8" s="13" t="inlineStr">
        <is>
          <t>魚、蛋、豆製品</t>
        </is>
      </c>
      <c r="C8" s="13" t="inlineStr">
        <is>
          <t>一份蛋白質＋兩樣菜</t>
        </is>
      </c>
      <c r="D8" s="13" t="inlineStr">
        <is>
          <t>水／無糖茶</t>
        </is>
      </c>
      <c r="E8" s="13" t="inlineStr">
        <is>
          <t>記錄大概份量</t>
        </is>
      </c>
      <c r="F8" s="13" t="inlineStr">
        <is>
          <t>半碗飯起步</t>
        </is>
      </c>
      <c r="G8" s="13" t="inlineStr">
        <is>
          <t>不夠再添也可以</t>
        </is>
      </c>
    </row>
    <row r="9">
      <c r="A9" s="13" t="inlineStr">
        <is>
          <t>速食店</t>
        </is>
      </c>
      <c r="B9" s="13" t="inlineStr">
        <is>
          <t>漢堡肉／雞肉</t>
        </is>
      </c>
      <c r="C9" s="13" t="inlineStr">
        <is>
          <t>主餐＋水或無糖飲</t>
        </is>
      </c>
      <c r="D9" s="13" t="inlineStr">
        <is>
          <t>水／無糖飲</t>
        </is>
      </c>
      <c r="E9" s="13" t="inlineStr">
        <is>
          <t>記套餐內容</t>
        </is>
      </c>
      <c r="F9" s="13" t="inlineStr">
        <is>
          <t>薯條與朋友分食</t>
        </is>
      </c>
      <c r="G9" s="13" t="inlineStr">
        <is>
          <t>下一餐回到日常</t>
        </is>
      </c>
    </row>
    <row r="10">
      <c r="A10" s="13" t="inlineStr">
        <is>
          <t>外送</t>
        </is>
      </c>
      <c r="B10" s="13" t="inlineStr">
        <is>
          <t>看得到主菜的餐點</t>
        </is>
      </c>
      <c r="C10" s="13" t="inlineStr">
        <is>
          <t>先選主菜，再補蔬菜</t>
        </is>
      </c>
      <c r="D10" s="13" t="inlineStr">
        <is>
          <t>水／無糖茶</t>
        </is>
      </c>
      <c r="E10" s="13" t="inlineStr">
        <is>
          <t>保留訂單名稱</t>
        </is>
      </c>
      <c r="F10" s="13" t="inlineStr">
        <is>
          <t>飯量調整</t>
        </is>
      </c>
      <c r="G10" s="13" t="inlineStr">
        <is>
          <t>選得到比選完美重要</t>
        </is>
      </c>
    </row>
  </sheetData>
  <mergeCells count="2">
    <mergeCell ref="A2:G2"/>
    <mergeCell ref="A1:G1"/>
  </mergeCells>
  <pageMargins left="0.25" right="0.25" top="0.4" bottom="0.4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F4D77D"/>
    <outlinePr summaryBelow="1" summaryRight="1"/>
    <pageSetUpPr fitToPage="1"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每週回顧</t>
        </is>
      </c>
    </row>
    <row r="2">
      <c r="A2" s="9" t="inlineStr">
        <is>
          <t>輸入週起始日後，回頭看看這週完成了什麼。</t>
        </is>
      </c>
    </row>
    <row r="4">
      <c r="A4" t="inlineStr">
        <is>
          <t>週起始日</t>
        </is>
      </c>
      <c r="B4" s="14" t="inlineStr"/>
    </row>
    <row r="6">
      <c r="A6" s="3" t="inlineStr">
        <is>
          <t>指標</t>
        </is>
      </c>
      <c r="B6" s="3" t="inlineStr">
        <is>
          <t>本週結果</t>
        </is>
      </c>
      <c r="C6" s="3" t="inlineStr">
        <is>
          <t>怎麼看</t>
        </is>
      </c>
      <c r="D6" s="3" t="inlineStr">
        <is>
          <t>下一步</t>
        </is>
      </c>
    </row>
    <row r="7">
      <c r="A7" s="13" t="inlineStr">
        <is>
          <t>記錄餐數</t>
        </is>
      </c>
      <c r="B7" s="13">
        <f>IF(B4="","",COUNTIFS('每日記錄'!A:A,"&gt;="&amp;B4,'每日記錄'!A:A,"&lt;"&amp;B4+7))</f>
        <v/>
      </c>
      <c r="C7" s="13" t="inlineStr">
        <is>
          <t>有記錄就有資料</t>
        </is>
      </c>
      <c r="D7" s="13" t="inlineStr">
        <is>
          <t>下週先維持記錄</t>
        </is>
      </c>
    </row>
    <row r="8">
      <c r="A8" s="13" t="inlineStr">
        <is>
          <t>完成餐數</t>
        </is>
      </c>
      <c r="B8" s="13">
        <f>IF(B4="","",COUNTIFS('每日記錄'!A:A,"&gt;="&amp;B4,'每日記錄'!A:A,"&lt;"&amp;B4+7,'每日記錄'!N:N,"完成"))</f>
        <v/>
      </c>
      <c r="C8" s="13" t="inlineStr">
        <is>
          <t>看行動，不看完美</t>
        </is>
      </c>
      <c r="D8" s="13" t="inlineStr">
        <is>
          <t>選一個最容易做到的行動</t>
        </is>
      </c>
    </row>
    <row r="9">
      <c r="A9" s="13" t="inlineStr">
        <is>
          <t>蛋白質有記錄</t>
        </is>
      </c>
      <c r="B9" s="13">
        <f>IF(B4="","",COUNTIFS('每日記錄'!A:A,"&gt;="&amp;B4,'每日記錄'!A:A,"&lt;"&amp;B4+7,'每日記錄'!E:E,"有"))</f>
        <v/>
      </c>
      <c r="C9" s="13" t="inlineStr">
        <is>
          <t>建立觀察習慣</t>
        </is>
      </c>
      <c r="D9" s="13" t="inlineStr">
        <is>
          <t>下一週多留意一餐</t>
        </is>
      </c>
    </row>
    <row r="10">
      <c r="A10" s="13" t="inlineStr">
        <is>
          <t>平均體重</t>
        </is>
      </c>
      <c r="B10" s="13">
        <f>IFERROR(AVERAGEIFS('每日記錄'!J:J,'每日記錄'!A:A,"&gt;="&amp;B4,'每日記錄'!A:A,"&lt;"&amp;B4+7),"")</f>
        <v/>
      </c>
      <c r="C10" s="13" t="inlineStr">
        <is>
          <t>只作趨勢參考</t>
        </is>
      </c>
      <c r="D10" s="13" t="inlineStr">
        <is>
          <t>搭配日常感受一起看</t>
        </is>
      </c>
    </row>
    <row r="13">
      <c r="A13" s="15" t="inlineStr">
        <is>
          <t>本週做得最好的一件事</t>
        </is>
      </c>
      <c r="B13" s="16" t="n"/>
    </row>
    <row r="15">
      <c r="A15" s="15" t="inlineStr">
        <is>
          <t>下週只想調整的一件事</t>
        </is>
      </c>
      <c r="B15" s="16" t="n"/>
    </row>
  </sheetData>
  <mergeCells count="4">
    <mergeCell ref="B13:H13"/>
    <mergeCell ref="A2:H2"/>
    <mergeCell ref="B15:H15"/>
    <mergeCell ref="A1:H1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2026-10-03T11:19:46Z</dcterms:created>
  <dcterms:modified xmlns:dcterms="http://purl.org/dc/terms/" xmlns:xsi="http://www.w3.org/2001/XMLSchema-instance" xsi:type="dcterms:W3CDTF">2026-10-03T11:37:46Z</dcterms:modified>
</cp:coreProperties>
</file>